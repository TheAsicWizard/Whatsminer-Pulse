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oreeCaraway\Downloads\"/>
    </mc:Choice>
  </mc:AlternateContent>
  <xr:revisionPtr revIDLastSave="0" documentId="8_{A06D3B64-DC66-496B-A0B0-4C176A15122B}" xr6:coauthVersionLast="47" xr6:coauthVersionMax="47" xr10:uidLastSave="{00000000-0000-0000-0000-000000000000}"/>
  <bookViews>
    <workbookView xWindow="1440" yWindow="1440" windowWidth="16420" windowHeight="8170" tabRatio="772" firstSheet="2" activeTab="3" xr2:uid="{00000000-000D-0000-FFFF-FFFF00000000}"/>
  </bookViews>
  <sheets>
    <sheet name="120180 MVA Transformer" sheetId="1" state="hidden" r:id="rId1"/>
    <sheet name="PV Fiberlight" sheetId="2" state="hidden" r:id="rId2"/>
    <sheet name="Summary" sheetId="3" r:id="rId3"/>
    <sheet name="IP Ranges - Air" sheetId="24" r:id="rId4"/>
    <sheet name="IP Ranges - Immersion" sheetId="17" r:id="rId5"/>
    <sheet name="eGauges" sheetId="25" r:id="rId6"/>
    <sheet name="IP Ranges - Air (OLD)" sheetId="16" state="hidden" r:id="rId7"/>
    <sheet name="Pivot Table 1" sheetId="6" state="hidden" r:id="rId8"/>
    <sheet name="Outage Plan" sheetId="7" state="hidden" r:id="rId9"/>
    <sheet name="VLAN issues" sheetId="8" state="hidden" r:id="rId10"/>
    <sheet name="Miner Types" sheetId="10" state="hidden" r:id="rId11"/>
    <sheet name="Labor" sheetId="11" state="hidden" r:id="rId12"/>
    <sheet name="Land Clearing" sheetId="12" state="hidden" r:id="rId13"/>
    <sheet name="Geotech Survey" sheetId="13" state="hidden" r:id="rId14"/>
    <sheet name="Container Ratio" sheetId="14" state="hidden" r:id="rId15"/>
    <sheet name="Sound Concern" sheetId="15" state="hidden" r:id="rId16"/>
  </sheets>
  <definedNames>
    <definedName name="_xlnm._FilterDatabase" localSheetId="0" hidden="1">'120180 MVA Transformer'!$B$3:$H$15</definedName>
    <definedName name="_xlnm._FilterDatabase" localSheetId="3" hidden="1">'IP Ranges - Air'!$A$1:$F$54</definedName>
    <definedName name="_xlnm._FilterDatabase" localSheetId="6" hidden="1">'IP Ranges - Air (OLD)'!$A$1:$J$512</definedName>
    <definedName name="_xlnm._FilterDatabase" localSheetId="4" hidden="1">'IP Ranges - Immersion'!$A$1:$T$245</definedName>
    <definedName name="_xlnm._FilterDatabase" localSheetId="8" hidden="1">'Outage Plan'!$B$1:$D$165</definedName>
    <definedName name="_xlnm._FilterDatabase" localSheetId="2" hidden="1">Summary!$B$1:$Q$289</definedName>
    <definedName name="Z_1FECDD82_8E86_4DC0_9000_63979D69D89A_.wvu.FilterData" localSheetId="2" hidden="1">Summary!$A$1:$Q$289</definedName>
    <definedName name="Z_68EE7746_8321_4B14_B998_CC3C8EC8EE0C_.wvu.FilterData" localSheetId="2" hidden="1">Summary!$A$1:$Q$289</definedName>
    <definedName name="Z_6F32043D_2763_4C1A_B31D_A5C779AAFDA0_.wvu.FilterData" localSheetId="2" hidden="1">Summary!$C$1:$C$289</definedName>
    <definedName name="Z_C6CD0F54_4FBB_4B38_A6EF_25C5826366BC_.wvu.FilterData" localSheetId="2" hidden="1">Summary!$B$1:$Q$289</definedName>
    <definedName name="Z_EF72BB40_145E_4645_B739_7257131D2031_.wvu.FilterData" localSheetId="2" hidden="1">Summary!$B$1:$Q$289</definedName>
  </definedNames>
  <calcPr calcId="191028"/>
  <customWorkbookViews>
    <customWorkbookView name="Filter 1" guid="{C6CD0F54-4FBB-4B38-A6EF-25C5826366BC}" maximized="1" windowWidth="0" windowHeight="0" activeSheetId="0"/>
    <customWorkbookView name="Filter 3" guid="{EF72BB40-145E-4645-B739-7257131D2031}" maximized="1" windowWidth="0" windowHeight="0" activeSheetId="0"/>
    <customWorkbookView name="Filter 2" guid="{68EE7746-8321-4B14-B998-CC3C8EC8EE0C}" maximized="1" windowWidth="0" windowHeight="0" activeSheetId="0"/>
    <customWorkbookView name="Filter 5" guid="{6F32043D-2763-4C1A-B31D-A5C779AAFDA0}" maximized="1" windowWidth="0" windowHeight="0" activeSheetId="0"/>
    <customWorkbookView name="Filter 4" guid="{1FECDD82-8E86-4DC0-9000-63979D69D89A}" maximized="1" windowWidth="0" windowHeight="0" activeSheetId="0"/>
  </customWorkbookViews>
  <pivotCaches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4" l="1"/>
  <c r="L2" i="17"/>
  <c r="L3" i="17"/>
  <c r="L4" i="17"/>
  <c r="O90" i="17"/>
  <c r="A2" i="17"/>
  <c r="A3" i="17"/>
  <c r="A4" i="17"/>
  <c r="I15" i="24"/>
  <c r="A3" i="24" l="1"/>
  <c r="A2" i="24"/>
  <c r="O108" i="17" l="1"/>
  <c r="O17" i="17"/>
  <c r="I16" i="24"/>
  <c r="I20" i="24"/>
  <c r="I52" i="24" l="1"/>
  <c r="I42" i="24"/>
  <c r="I21" i="24"/>
  <c r="I57" i="24"/>
  <c r="I38" i="24"/>
  <c r="I29" i="24"/>
  <c r="O283" i="17"/>
  <c r="I2" i="24"/>
  <c r="I3" i="24"/>
  <c r="I4" i="24"/>
  <c r="I5" i="24"/>
  <c r="I6" i="24"/>
  <c r="I7" i="24"/>
  <c r="I8" i="24"/>
  <c r="I9" i="24"/>
  <c r="I10" i="24"/>
  <c r="I11" i="24"/>
  <c r="I12" i="24"/>
  <c r="I13" i="24"/>
  <c r="I17" i="24"/>
  <c r="I18" i="24"/>
  <c r="I19" i="24"/>
  <c r="I22" i="24"/>
  <c r="I23" i="24"/>
  <c r="I24" i="24"/>
  <c r="I25" i="24"/>
  <c r="I26" i="24"/>
  <c r="I27" i="24"/>
  <c r="I30" i="24"/>
  <c r="I31" i="24"/>
  <c r="I32" i="24"/>
  <c r="I33" i="24"/>
  <c r="I34" i="24"/>
  <c r="I35" i="24"/>
  <c r="I36" i="24"/>
  <c r="I37" i="24"/>
  <c r="I39" i="24"/>
  <c r="I40" i="24"/>
  <c r="I41" i="24"/>
  <c r="I43" i="24"/>
  <c r="I44" i="24"/>
  <c r="I45" i="24"/>
  <c r="I46" i="24"/>
  <c r="I47" i="24"/>
  <c r="I48" i="24"/>
  <c r="I49" i="24"/>
  <c r="I50" i="24"/>
  <c r="I51" i="24"/>
  <c r="I53" i="24"/>
  <c r="I54" i="24"/>
  <c r="I55" i="24"/>
  <c r="I56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14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E245" i="3" l="1"/>
  <c r="E246" i="3"/>
  <c r="E249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43" i="3"/>
  <c r="E228" i="3"/>
  <c r="E230" i="3"/>
  <c r="E227" i="3"/>
  <c r="E213" i="3"/>
  <c r="E192" i="3"/>
  <c r="O18" i="17"/>
  <c r="O19" i="17"/>
  <c r="O158" i="17"/>
  <c r="O20" i="17"/>
  <c r="O21" i="17"/>
  <c r="O22" i="17"/>
  <c r="O23" i="17"/>
  <c r="O24" i="17"/>
  <c r="O25" i="17"/>
  <c r="O26" i="17"/>
  <c r="O54" i="17"/>
  <c r="O55" i="17"/>
  <c r="O56" i="17"/>
  <c r="O57" i="17"/>
  <c r="O58" i="17"/>
  <c r="O59" i="17"/>
  <c r="O60" i="17"/>
  <c r="O61" i="17"/>
  <c r="O272" i="17"/>
  <c r="E289" i="3" l="1"/>
  <c r="O127" i="17"/>
  <c r="O262" i="17"/>
  <c r="O425" i="17"/>
  <c r="O424" i="17"/>
  <c r="O423" i="17"/>
  <c r="O422" i="17"/>
  <c r="O421" i="17"/>
  <c r="O420" i="17"/>
  <c r="O419" i="17"/>
  <c r="O418" i="17"/>
  <c r="O417" i="17"/>
  <c r="O416" i="17"/>
  <c r="O415" i="17"/>
  <c r="O414" i="17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2" i="17"/>
  <c r="O281" i="17"/>
  <c r="O280" i="17"/>
  <c r="O279" i="17"/>
  <c r="O278" i="17"/>
  <c r="O277" i="17"/>
  <c r="O276" i="17"/>
  <c r="O275" i="17"/>
  <c r="O274" i="17"/>
  <c r="O273" i="17"/>
  <c r="O271" i="17"/>
  <c r="O270" i="17"/>
  <c r="O269" i="17"/>
  <c r="O268" i="17"/>
  <c r="O267" i="17"/>
  <c r="O266" i="17"/>
  <c r="O265" i="17"/>
  <c r="O264" i="17"/>
  <c r="O263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182" i="17" l="1"/>
  <c r="O239" i="17"/>
  <c r="O240" i="17"/>
  <c r="O241" i="17"/>
  <c r="O242" i="17"/>
  <c r="O243" i="17"/>
  <c r="O244" i="17"/>
  <c r="O245" i="17"/>
  <c r="O178" i="17"/>
  <c r="O210" i="17"/>
  <c r="O211" i="17"/>
  <c r="O212" i="17"/>
  <c r="O213" i="17"/>
  <c r="O214" i="17"/>
  <c r="O215" i="17"/>
  <c r="O216" i="17"/>
  <c r="O217" i="17"/>
  <c r="O236" i="17"/>
  <c r="O237" i="17"/>
  <c r="O238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161" i="17"/>
  <c r="O171" i="17"/>
  <c r="O172" i="17"/>
  <c r="O173" i="17"/>
  <c r="O174" i="17"/>
  <c r="O175" i="17"/>
  <c r="O176" i="17"/>
  <c r="O177" i="17"/>
  <c r="O179" i="17"/>
  <c r="O180" i="17"/>
  <c r="O181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85" i="17"/>
  <c r="O102" i="17"/>
  <c r="O92" i="17"/>
  <c r="O93" i="17"/>
  <c r="O94" i="17"/>
  <c r="O95" i="17"/>
  <c r="O96" i="17"/>
  <c r="O97" i="17"/>
  <c r="O98" i="17"/>
  <c r="O99" i="17"/>
  <c r="O153" i="17"/>
  <c r="O154" i="17"/>
  <c r="O155" i="17"/>
  <c r="O156" i="17"/>
  <c r="O157" i="17"/>
  <c r="O159" i="17"/>
  <c r="O160" i="17"/>
  <c r="O162" i="17"/>
  <c r="O163" i="17"/>
  <c r="O164" i="17"/>
  <c r="O165" i="17"/>
  <c r="O166" i="17"/>
  <c r="O167" i="17"/>
  <c r="O168" i="17"/>
  <c r="O169" i="17"/>
  <c r="O170" i="17"/>
  <c r="O124" i="17"/>
  <c r="O125" i="17"/>
  <c r="O126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M436" i="16"/>
  <c r="M434" i="16"/>
  <c r="M432" i="16"/>
  <c r="M416" i="16"/>
  <c r="M414" i="16"/>
  <c r="M400" i="16"/>
  <c r="M398" i="16"/>
  <c r="M396" i="16"/>
  <c r="M392" i="16"/>
  <c r="M390" i="16"/>
  <c r="M388" i="16"/>
  <c r="M386" i="16"/>
  <c r="M384" i="16"/>
  <c r="M382" i="16"/>
  <c r="M380" i="16"/>
  <c r="M378" i="16"/>
  <c r="M376" i="16"/>
  <c r="M364" i="16"/>
  <c r="M362" i="16"/>
  <c r="M360" i="16"/>
  <c r="M358" i="16"/>
  <c r="M356" i="16"/>
  <c r="M354" i="16"/>
  <c r="M352" i="16"/>
  <c r="M350" i="16"/>
  <c r="M348" i="16"/>
  <c r="M346" i="16"/>
  <c r="M344" i="16"/>
  <c r="M338" i="16"/>
  <c r="M336" i="16"/>
  <c r="M334" i="16"/>
  <c r="M332" i="16"/>
  <c r="M330" i="16"/>
  <c r="M312" i="16"/>
  <c r="M304" i="16"/>
  <c r="M302" i="16"/>
  <c r="M300" i="16"/>
  <c r="M298" i="16"/>
  <c r="M296" i="16"/>
  <c r="M294" i="16"/>
  <c r="M292" i="16"/>
  <c r="M290" i="16"/>
  <c r="M288" i="16"/>
  <c r="M286" i="16"/>
  <c r="M284" i="16"/>
  <c r="M282" i="16"/>
  <c r="M280" i="16"/>
  <c r="M278" i="16"/>
  <c r="M276" i="16"/>
  <c r="M274" i="16"/>
  <c r="M252" i="16"/>
  <c r="M251" i="16"/>
  <c r="M250" i="16"/>
  <c r="M249" i="16"/>
  <c r="M248" i="16"/>
  <c r="M247" i="16"/>
  <c r="M246" i="16"/>
  <c r="M245" i="16"/>
  <c r="M244" i="16"/>
  <c r="M233" i="16"/>
  <c r="M232" i="16"/>
  <c r="M231" i="16"/>
  <c r="M230" i="16"/>
  <c r="M229" i="16"/>
  <c r="M228" i="16"/>
  <c r="M227" i="16"/>
  <c r="M225" i="16"/>
  <c r="M224" i="16"/>
  <c r="M223" i="16"/>
  <c r="M221" i="16"/>
  <c r="M220" i="16"/>
  <c r="M219" i="16"/>
  <c r="M217" i="16"/>
  <c r="M216" i="16"/>
  <c r="M209" i="16"/>
  <c r="M207" i="16"/>
  <c r="M206" i="16"/>
  <c r="M205" i="16"/>
  <c r="M204" i="16"/>
  <c r="M203" i="16"/>
  <c r="M202" i="16"/>
  <c r="M201" i="16"/>
  <c r="M200" i="16"/>
  <c r="M198" i="16"/>
  <c r="M197" i="16"/>
  <c r="M196" i="16"/>
  <c r="M195" i="16"/>
  <c r="M194" i="16"/>
  <c r="M193" i="16"/>
  <c r="M192" i="16"/>
  <c r="M191" i="16"/>
  <c r="M190" i="16"/>
  <c r="M188" i="16"/>
  <c r="M187" i="16"/>
  <c r="M182" i="16"/>
  <c r="M180" i="16"/>
  <c r="M178" i="16"/>
  <c r="M176" i="16"/>
  <c r="M174" i="16"/>
  <c r="M172" i="16"/>
  <c r="M170" i="16"/>
  <c r="M168" i="16"/>
  <c r="M166" i="16"/>
  <c r="M164" i="16"/>
  <c r="M162" i="16"/>
  <c r="M160" i="16"/>
  <c r="M159" i="16"/>
  <c r="M158" i="16"/>
  <c r="M157" i="16"/>
  <c r="M156" i="16"/>
  <c r="M155" i="16"/>
  <c r="M154" i="16"/>
  <c r="M153" i="16"/>
  <c r="M152" i="16"/>
  <c r="M151" i="16"/>
  <c r="M120" i="16"/>
  <c r="M118" i="16"/>
  <c r="M116" i="16"/>
  <c r="M114" i="16"/>
  <c r="M112" i="16"/>
  <c r="M110" i="16"/>
  <c r="M108" i="16"/>
  <c r="M106" i="16"/>
  <c r="M104" i="16"/>
  <c r="M102" i="16"/>
  <c r="M100" i="16"/>
  <c r="M98" i="16"/>
  <c r="M96" i="16"/>
  <c r="M94" i="16"/>
  <c r="M92" i="16"/>
  <c r="M90" i="16"/>
  <c r="M88" i="16"/>
  <c r="M86" i="16"/>
  <c r="M84" i="16"/>
  <c r="M82" i="16"/>
  <c r="M80" i="16"/>
  <c r="M78" i="16"/>
  <c r="M76" i="16"/>
  <c r="M74" i="16"/>
  <c r="M73" i="16"/>
  <c r="M72" i="16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6" i="17"/>
  <c r="O87" i="17"/>
  <c r="O88" i="17"/>
  <c r="O89" i="17"/>
  <c r="O100" i="17"/>
  <c r="O101" i="17"/>
  <c r="O103" i="17"/>
  <c r="O104" i="17"/>
  <c r="O105" i="17"/>
  <c r="O106" i="17"/>
  <c r="O107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91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5" i="17"/>
  <c r="A50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5" i="17"/>
  <c r="E43" i="16"/>
  <c r="E42" i="16"/>
  <c r="E41" i="16"/>
  <c r="E40" i="16"/>
  <c r="E39" i="16"/>
  <c r="E38" i="16"/>
  <c r="E37" i="16"/>
  <c r="E36" i="16"/>
  <c r="E35" i="16"/>
  <c r="E34" i="16"/>
  <c r="E32" i="16"/>
  <c r="A12" i="16"/>
  <c r="E11" i="16"/>
  <c r="E12" i="16" l="1"/>
  <c r="E44" i="16"/>
  <c r="A13" i="16"/>
  <c r="C22" i="14"/>
  <c r="J21" i="14"/>
  <c r="G21" i="14"/>
  <c r="D21" i="14"/>
  <c r="J20" i="14"/>
  <c r="G20" i="14"/>
  <c r="D20" i="14"/>
  <c r="C10" i="14"/>
  <c r="J9" i="14"/>
  <c r="G9" i="14"/>
  <c r="D9" i="14"/>
  <c r="J8" i="14"/>
  <c r="G8" i="14"/>
  <c r="D8" i="14"/>
  <c r="G3" i="14"/>
  <c r="E3" i="14"/>
  <c r="G2" i="14"/>
  <c r="E2" i="14"/>
  <c r="F2" i="13"/>
  <c r="E3" i="12"/>
  <c r="E2" i="12"/>
  <c r="B21" i="11"/>
  <c r="B16" i="11"/>
  <c r="C25" i="11"/>
  <c r="B15" i="11"/>
  <c r="C24" i="11"/>
  <c r="F7" i="11"/>
  <c r="G7" i="11"/>
  <c r="H7" i="11"/>
  <c r="I7" i="11"/>
  <c r="J7" i="11"/>
  <c r="K7" i="11"/>
  <c r="L7" i="11"/>
  <c r="M7" i="11"/>
  <c r="B7" i="11"/>
  <c r="M3" i="11"/>
  <c r="K3" i="11"/>
  <c r="I3" i="11"/>
  <c r="I4" i="11"/>
  <c r="J4" i="11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D4" i="10"/>
  <c r="D3" i="10"/>
  <c r="D2" i="10"/>
  <c r="G4" i="2"/>
  <c r="D4" i="2"/>
  <c r="C4" i="2"/>
  <c r="B4" i="2"/>
  <c r="E3" i="2"/>
  <c r="F15" i="1"/>
  <c r="F14" i="1"/>
  <c r="F13" i="1"/>
  <c r="F12" i="1"/>
  <c r="F11" i="1"/>
  <c r="F10" i="1"/>
  <c r="F9" i="1"/>
  <c r="F8" i="1"/>
  <c r="F7" i="1"/>
  <c r="F6" i="1"/>
  <c r="F5" i="1"/>
  <c r="F4" i="1"/>
  <c r="E7" i="2"/>
  <c r="E8" i="2"/>
  <c r="E4" i="2"/>
  <c r="D7" i="2"/>
  <c r="D8" i="2"/>
  <c r="C7" i="2"/>
  <c r="C8" i="2"/>
  <c r="B7" i="2"/>
  <c r="B8" i="2"/>
  <c r="K4" i="11"/>
  <c r="L4" i="11"/>
  <c r="M4" i="11"/>
  <c r="B25" i="11"/>
  <c r="B24" i="11"/>
  <c r="E20" i="14"/>
  <c r="E8" i="14"/>
  <c r="H2" i="14"/>
  <c r="E21" i="14"/>
  <c r="E9" i="14"/>
  <c r="H3" i="14"/>
  <c r="D10" i="14"/>
  <c r="G10" i="14"/>
  <c r="J10" i="14"/>
  <c r="D22" i="14"/>
  <c r="G22" i="14"/>
  <c r="J22" i="14"/>
  <c r="H32" i="14"/>
  <c r="H31" i="14"/>
  <c r="H33" i="14"/>
  <c r="E10" i="14"/>
  <c r="H9" i="14"/>
  <c r="H8" i="14"/>
  <c r="C14" i="14"/>
  <c r="D14" i="14"/>
  <c r="E22" i="14"/>
  <c r="H21" i="14"/>
  <c r="H20" i="14"/>
  <c r="C26" i="14"/>
  <c r="D26" i="14"/>
  <c r="G26" i="14"/>
  <c r="K20" i="14"/>
  <c r="H22" i="14"/>
  <c r="C27" i="14"/>
  <c r="D27" i="14"/>
  <c r="C28" i="14"/>
  <c r="G14" i="14"/>
  <c r="K8" i="14"/>
  <c r="H10" i="14"/>
  <c r="C15" i="14"/>
  <c r="D15" i="14"/>
  <c r="C16" i="14"/>
  <c r="G15" i="14"/>
  <c r="K9" i="14"/>
  <c r="D16" i="14"/>
  <c r="G27" i="14"/>
  <c r="K21" i="14"/>
  <c r="D28" i="14"/>
  <c r="I32" i="14"/>
  <c r="H28" i="14"/>
  <c r="K22" i="14"/>
  <c r="J32" i="14"/>
  <c r="G28" i="14"/>
  <c r="I31" i="14"/>
  <c r="I33" i="14"/>
  <c r="K33" i="14"/>
  <c r="H16" i="14"/>
  <c r="K10" i="14"/>
  <c r="J31" i="14"/>
  <c r="J33" i="14"/>
  <c r="G16" i="14"/>
  <c r="E45" i="16" l="1"/>
  <c r="A14" i="16"/>
  <c r="E13" i="16"/>
  <c r="E46" i="16" l="1"/>
  <c r="A15" i="16"/>
  <c r="E14" i="16"/>
  <c r="A16" i="16" l="1"/>
  <c r="E47" i="16"/>
  <c r="E15" i="16"/>
  <c r="E48" i="16" l="1"/>
  <c r="E16" i="16"/>
  <c r="A17" i="16"/>
  <c r="E49" i="16" l="1"/>
  <c r="A18" i="16"/>
  <c r="E17" i="16"/>
  <c r="A19" i="16" l="1"/>
  <c r="E50" i="16"/>
  <c r="E18" i="16"/>
  <c r="E51" i="16" l="1"/>
  <c r="A20" i="16"/>
  <c r="E19" i="16"/>
  <c r="E52" i="16" l="1"/>
  <c r="E20" i="16"/>
  <c r="A21" i="16"/>
  <c r="E53" i="16" l="1"/>
  <c r="A22" i="16"/>
  <c r="E21" i="16"/>
  <c r="E54" i="16" l="1"/>
  <c r="A23" i="16"/>
  <c r="E22" i="16"/>
  <c r="E55" i="16" l="1"/>
  <c r="A24" i="16"/>
  <c r="E23" i="16"/>
  <c r="E24" i="16" l="1"/>
  <c r="E56" i="16"/>
  <c r="A25" i="16"/>
  <c r="A26" i="16" l="1"/>
  <c r="E57" i="16"/>
  <c r="E25" i="16"/>
  <c r="E58" i="16" l="1"/>
  <c r="A27" i="16"/>
  <c r="E26" i="16"/>
  <c r="E59" i="16" l="1"/>
  <c r="A28" i="16"/>
  <c r="E27" i="16"/>
  <c r="E60" i="16" l="1"/>
  <c r="E28" i="16"/>
  <c r="A29" i="16"/>
  <c r="E61" i="16" l="1"/>
  <c r="E29" i="16"/>
  <c r="A30" i="16"/>
  <c r="A31" i="16" l="1"/>
  <c r="E62" i="16"/>
  <c r="E30" i="16"/>
  <c r="E63" i="16" l="1"/>
  <c r="E31" i="16"/>
  <c r="E64" i="16" l="1"/>
  <c r="E416" i="16" l="1"/>
  <c r="E111" i="16" l="1"/>
  <c r="E141" i="16" l="1"/>
  <c r="E142" i="16" l="1"/>
  <c r="E143" i="16" l="1"/>
  <c r="A211" i="16" l="1"/>
  <c r="E144" i="16"/>
  <c r="E145" i="16" l="1"/>
  <c r="A213" i="16"/>
  <c r="E211" i="16"/>
  <c r="A215" i="16" l="1"/>
  <c r="E146" i="16"/>
  <c r="E213" i="16"/>
  <c r="E215" i="16" l="1"/>
  <c r="E147" i="16"/>
  <c r="E148" i="16" l="1"/>
  <c r="E149" i="16" l="1"/>
  <c r="A348" i="16" l="1"/>
  <c r="E150" i="16"/>
  <c r="E113" i="16" l="1"/>
  <c r="E66" i="16"/>
  <c r="E432" i="16"/>
  <c r="E348" i="16"/>
  <c r="E434" i="16" l="1"/>
  <c r="E436" i="16"/>
  <c r="E364" i="16" l="1"/>
  <c r="E376" i="16" l="1"/>
  <c r="E378" i="16" l="1"/>
  <c r="E380" i="16" l="1"/>
  <c r="E382" i="16" l="1"/>
  <c r="E384" i="16" l="1"/>
  <c r="E386" i="16" l="1"/>
  <c r="E388" i="16" l="1"/>
  <c r="E390" i="16" l="1"/>
  <c r="E398" i="16" l="1"/>
  <c r="E400" i="16" l="1"/>
  <c r="E161" i="16" l="1"/>
  <c r="E414" i="16"/>
  <c r="E163" i="16" l="1"/>
  <c r="E165" i="16" l="1"/>
  <c r="E167" i="16" l="1"/>
  <c r="E169" i="16" l="1"/>
  <c r="E177" i="16" l="1"/>
  <c r="A108" i="16" l="1"/>
  <c r="E115" i="16" l="1"/>
  <c r="E67" i="16"/>
  <c r="E181" i="16"/>
  <c r="E108" i="16"/>
  <c r="E183" i="16" l="1"/>
  <c r="E184" i="16" l="1"/>
  <c r="A240" i="16"/>
  <c r="A242" i="16" l="1"/>
  <c r="E185" i="16"/>
  <c r="E240" i="16"/>
  <c r="E171" i="16" l="1"/>
  <c r="E186" i="16"/>
  <c r="E242" i="16"/>
  <c r="A237" i="16" l="1"/>
  <c r="A238" i="16" s="1"/>
  <c r="E238" i="16" s="1"/>
  <c r="E173" i="16"/>
  <c r="E175" i="16" l="1"/>
  <c r="E237" i="16"/>
  <c r="E362" i="16"/>
  <c r="E179" i="16" l="1"/>
  <c r="A162" i="16"/>
  <c r="E199" i="16" l="1"/>
  <c r="E162" i="16"/>
  <c r="A256" i="16" l="1"/>
  <c r="E512" i="16" s="1"/>
  <c r="E210" i="16" l="1"/>
  <c r="A258" i="16"/>
  <c r="E256" i="16"/>
  <c r="E212" i="16" l="1"/>
  <c r="A260" i="16"/>
  <c r="E258" i="16"/>
  <c r="E260" i="16" l="1"/>
  <c r="E214" i="16"/>
  <c r="A262" i="16"/>
  <c r="A264" i="16" l="1"/>
  <c r="E262" i="16"/>
  <c r="E264" i="16" l="1"/>
  <c r="A266" i="16"/>
  <c r="A170" i="16"/>
  <c r="E117" i="16" l="1"/>
  <c r="E68" i="16"/>
  <c r="E266" i="16"/>
  <c r="A268" i="16"/>
  <c r="E170" i="16"/>
  <c r="A172" i="16"/>
  <c r="E119" i="16" l="1"/>
  <c r="E69" i="16"/>
  <c r="E392" i="16"/>
  <c r="E268" i="16"/>
  <c r="A270" i="16"/>
  <c r="A174" i="16"/>
  <c r="E70" i="16" s="1"/>
  <c r="E172" i="16"/>
  <c r="E121" i="16" l="1"/>
  <c r="E270" i="16"/>
  <c r="A272" i="16"/>
  <c r="E396" i="16"/>
  <c r="E174" i="16"/>
  <c r="A176" i="16"/>
  <c r="A84" i="16" l="1"/>
  <c r="E236" i="16"/>
  <c r="E272" i="16"/>
  <c r="E122" i="16"/>
  <c r="A178" i="16"/>
  <c r="E176" i="16"/>
  <c r="A350" i="16" l="1"/>
  <c r="E84" i="16"/>
  <c r="E123" i="16"/>
  <c r="E239" i="16"/>
  <c r="A180" i="16"/>
  <c r="E178" i="16"/>
  <c r="A352" i="16" l="1"/>
  <c r="E350" i="16"/>
  <c r="A164" i="16"/>
  <c r="E241" i="16"/>
  <c r="E124" i="16"/>
  <c r="A100" i="16"/>
  <c r="E77" i="16" s="1"/>
  <c r="E180" i="16"/>
  <c r="A354" i="16" l="1"/>
  <c r="E352" i="16"/>
  <c r="E125" i="16"/>
  <c r="A284" i="16"/>
  <c r="E79" i="16" s="1"/>
  <c r="E100" i="16"/>
  <c r="E243" i="16"/>
  <c r="A166" i="16"/>
  <c r="E164" i="16"/>
  <c r="E354" i="16" l="1"/>
  <c r="A86" i="16"/>
  <c r="E166" i="16"/>
  <c r="A168" i="16"/>
  <c r="E284" i="16"/>
  <c r="A286" i="16"/>
  <c r="E81" i="16" s="1"/>
  <c r="E126" i="16"/>
  <c r="A88" i="16" l="1"/>
  <c r="E86" i="16"/>
  <c r="E127" i="16"/>
  <c r="E286" i="16"/>
  <c r="A102" i="16"/>
  <c r="E83" i="16" s="1"/>
  <c r="A356" i="16"/>
  <c r="E168" i="16"/>
  <c r="A360" i="16" l="1"/>
  <c r="E88" i="16"/>
  <c r="E107" i="16"/>
  <c r="A358" i="16"/>
  <c r="E356" i="16"/>
  <c r="E128" i="16"/>
  <c r="A312" i="16"/>
  <c r="E85" i="16" s="1"/>
  <c r="E102" i="16"/>
  <c r="E360" i="16" l="1"/>
  <c r="A3" i="16"/>
  <c r="A294" i="16"/>
  <c r="E87" i="16" s="1"/>
  <c r="E129" i="16"/>
  <c r="E312" i="16"/>
  <c r="E255" i="16"/>
  <c r="E109" i="16"/>
  <c r="E358" i="16"/>
  <c r="E3" i="16" l="1"/>
  <c r="A4" i="16"/>
  <c r="A5" i="16" s="1"/>
  <c r="E257" i="16"/>
  <c r="E130" i="16"/>
  <c r="E294" i="16"/>
  <c r="A332" i="16"/>
  <c r="E89" i="16" s="1"/>
  <c r="E71" i="16" l="1"/>
  <c r="A6" i="16"/>
  <c r="E5" i="16"/>
  <c r="E4" i="16"/>
  <c r="A290" i="16"/>
  <c r="E131" i="16"/>
  <c r="A304" i="16"/>
  <c r="E91" i="16" s="1"/>
  <c r="E332" i="16"/>
  <c r="E259" i="16"/>
  <c r="E6" i="16" l="1"/>
  <c r="A7" i="16"/>
  <c r="A292" i="16"/>
  <c r="E290" i="16"/>
  <c r="E261" i="16"/>
  <c r="E132" i="16"/>
  <c r="E304" i="16"/>
  <c r="E75" i="16" l="1"/>
  <c r="E7" i="16"/>
  <c r="E292" i="16"/>
  <c r="A8" i="16"/>
  <c r="E133" i="16"/>
  <c r="A334" i="16"/>
  <c r="E93" i="16" s="1"/>
  <c r="E263" i="16"/>
  <c r="E8" i="16" l="1"/>
  <c r="E134" i="16"/>
  <c r="A336" i="16"/>
  <c r="E95" i="16" s="1"/>
  <c r="E334" i="16"/>
  <c r="A9" i="16" l="1"/>
  <c r="E265" i="16" s="1"/>
  <c r="E135" i="16"/>
  <c r="E336" i="16"/>
  <c r="A346" i="16"/>
  <c r="E97" i="16" s="1"/>
  <c r="E267" i="16"/>
  <c r="E9" i="16" l="1"/>
  <c r="A72" i="16"/>
  <c r="E72" i="16" s="1"/>
  <c r="E269" i="16"/>
  <c r="E136" i="16"/>
  <c r="A338" i="16"/>
  <c r="E99" i="16" s="1"/>
  <c r="E346" i="16"/>
  <c r="E137" i="16" l="1"/>
  <c r="A344" i="16"/>
  <c r="E101" i="16" s="1"/>
  <c r="E338" i="16"/>
  <c r="E271" i="16"/>
  <c r="A306" i="16" l="1"/>
  <c r="E273" i="16"/>
  <c r="E138" i="16"/>
  <c r="E344" i="16"/>
  <c r="E139" i="16" l="1"/>
  <c r="E306" i="16"/>
  <c r="A308" i="16"/>
  <c r="E275" i="16"/>
  <c r="E308" i="16" l="1"/>
  <c r="E277" i="16"/>
  <c r="A310" i="16"/>
  <c r="A73" i="16" s="1"/>
  <c r="E73" i="16" s="1"/>
  <c r="E140" i="16"/>
  <c r="E279" i="16" l="1"/>
  <c r="E310" i="16"/>
  <c r="A314" i="16" l="1"/>
  <c r="E281" i="16"/>
  <c r="E283" i="16" l="1"/>
  <c r="A316" i="16"/>
  <c r="E314" i="16"/>
  <c r="E285" i="16" l="1"/>
  <c r="A318" i="16"/>
  <c r="E316" i="16"/>
  <c r="A320" i="16" l="1"/>
  <c r="E287" i="16"/>
  <c r="E318" i="16"/>
  <c r="A322" i="16" l="1"/>
  <c r="E289" i="16"/>
  <c r="E320" i="16"/>
  <c r="A324" i="16" l="1"/>
  <c r="E291" i="16"/>
  <c r="E322" i="16"/>
  <c r="A326" i="16" l="1"/>
  <c r="E293" i="16"/>
  <c r="E324" i="16"/>
  <c r="E295" i="16" l="1"/>
  <c r="A328" i="16"/>
  <c r="A74" i="16" s="1"/>
  <c r="E326" i="16"/>
  <c r="E74" i="16" l="1"/>
  <c r="E297" i="16"/>
  <c r="E328" i="16"/>
  <c r="E299" i="16" l="1"/>
  <c r="A296" i="16" l="1"/>
  <c r="E301" i="16"/>
  <c r="A298" i="16" l="1"/>
  <c r="E298" i="16" s="1"/>
  <c r="E296" i="16"/>
  <c r="E303" i="16"/>
  <c r="E305" i="16" l="1"/>
  <c r="E307" i="16" l="1"/>
  <c r="A340" i="16"/>
  <c r="A342" i="16" l="1"/>
  <c r="A76" i="16" s="1"/>
  <c r="E340" i="16"/>
  <c r="E309" i="16"/>
  <c r="A280" i="16" l="1"/>
  <c r="E76" i="16"/>
  <c r="E311" i="16"/>
  <c r="E342" i="16"/>
  <c r="A282" i="16" l="1"/>
  <c r="E280" i="16"/>
  <c r="E313" i="16"/>
  <c r="E282" i="16" l="1"/>
  <c r="A90" i="16"/>
  <c r="E315" i="16"/>
  <c r="A92" i="16" l="1"/>
  <c r="E90" i="16"/>
  <c r="E317" i="16"/>
  <c r="A94" i="16" l="1"/>
  <c r="E92" i="16"/>
  <c r="E319" i="16"/>
  <c r="A96" i="16" l="1"/>
  <c r="E94" i="16"/>
  <c r="E321" i="16"/>
  <c r="A98" i="16" l="1"/>
  <c r="E96" i="16"/>
  <c r="E323" i="16"/>
  <c r="A300" i="16" l="1"/>
  <c r="E98" i="16"/>
  <c r="E325" i="16"/>
  <c r="A302" i="16" l="1"/>
  <c r="E300" i="16"/>
  <c r="E327" i="16"/>
  <c r="E302" i="16" l="1"/>
  <c r="A104" i="16"/>
  <c r="E104" i="16" s="1"/>
  <c r="A274" i="16"/>
  <c r="E329" i="16" l="1"/>
  <c r="E65" i="16"/>
  <c r="E274" i="16"/>
  <c r="E331" i="16"/>
  <c r="A366" i="16" l="1"/>
  <c r="E333" i="16"/>
  <c r="E335" i="16" l="1"/>
  <c r="A368" i="16"/>
  <c r="E366" i="16"/>
  <c r="E337" i="16" l="1"/>
  <c r="A370" i="16"/>
  <c r="E368" i="16"/>
  <c r="E370" i="16" l="1"/>
  <c r="A372" i="16"/>
  <c r="E339" i="16"/>
  <c r="E372" i="16" l="1"/>
  <c r="A374" i="16"/>
  <c r="A106" i="16" s="1"/>
  <c r="E341" i="16"/>
  <c r="A78" i="16" l="1"/>
  <c r="E106" i="16"/>
  <c r="A229" i="16"/>
  <c r="E343" i="16"/>
  <c r="E374" i="16"/>
  <c r="E78" i="16" l="1"/>
  <c r="A80" i="16"/>
  <c r="E229" i="16"/>
  <c r="A230" i="16"/>
  <c r="E345" i="16"/>
  <c r="E80" i="16" l="1"/>
  <c r="A112" i="16"/>
  <c r="E230" i="16"/>
  <c r="A231" i="16"/>
  <c r="E347" i="16"/>
  <c r="A114" i="16" l="1"/>
  <c r="E112" i="16"/>
  <c r="A232" i="16"/>
  <c r="A197" i="16" s="1"/>
  <c r="E197" i="16" s="1"/>
  <c r="E231" i="16"/>
  <c r="E349" i="16"/>
  <c r="E114" i="16" l="1"/>
  <c r="A116" i="16"/>
  <c r="A233" i="16"/>
  <c r="A198" i="16" s="1"/>
  <c r="E198" i="16" s="1"/>
  <c r="E232" i="16"/>
  <c r="E351" i="16"/>
  <c r="A118" i="16" l="1"/>
  <c r="E116" i="16"/>
  <c r="A244" i="16"/>
  <c r="A200" i="16" s="1"/>
  <c r="E200" i="16" s="1"/>
  <c r="E233" i="16"/>
  <c r="E353" i="16"/>
  <c r="E118" i="16" l="1"/>
  <c r="A120" i="16"/>
  <c r="E244" i="16"/>
  <c r="A245" i="16"/>
  <c r="A201" i="16" s="1"/>
  <c r="E201" i="16" s="1"/>
  <c r="E355" i="16"/>
  <c r="E120" i="16" l="1"/>
  <c r="A151" i="16"/>
  <c r="E151" i="16" s="1"/>
  <c r="E245" i="16"/>
  <c r="A246" i="16"/>
  <c r="A202" i="16" s="1"/>
  <c r="E202" i="16" s="1"/>
  <c r="E357" i="16"/>
  <c r="A247" i="16" l="1"/>
  <c r="E246" i="16"/>
  <c r="E359" i="16"/>
  <c r="A208" i="16" l="1"/>
  <c r="E208" i="16" s="1"/>
  <c r="A248" i="16"/>
  <c r="E248" i="16" s="1"/>
  <c r="A203" i="16"/>
  <c r="E203" i="16" s="1"/>
  <c r="E247" i="16"/>
  <c r="A394" i="16"/>
  <c r="A152" i="16" s="1"/>
  <c r="E361" i="16"/>
  <c r="E152" i="16" l="1"/>
  <c r="A153" i="16"/>
  <c r="E363" i="16"/>
  <c r="E394" i="16"/>
  <c r="A182" i="16"/>
  <c r="A204" i="16" l="1"/>
  <c r="A154" i="16"/>
  <c r="E154" i="16" s="1"/>
  <c r="E153" i="16"/>
  <c r="A187" i="16"/>
  <c r="E182" i="16"/>
  <c r="E365" i="16"/>
  <c r="E204" i="16" l="1"/>
  <c r="A205" i="16"/>
  <c r="A209" i="16"/>
  <c r="E209" i="16" s="1"/>
  <c r="E187" i="16"/>
  <c r="E367" i="16"/>
  <c r="A188" i="16"/>
  <c r="A189" i="16" l="1"/>
  <c r="E189" i="16" s="1"/>
  <c r="E103" i="16"/>
  <c r="A206" i="16"/>
  <c r="E205" i="16"/>
  <c r="A216" i="16"/>
  <c r="E216" i="16" s="1"/>
  <c r="E188" i="16"/>
  <c r="E369" i="16"/>
  <c r="A402" i="16"/>
  <c r="E105" i="16" l="1"/>
  <c r="E206" i="16"/>
  <c r="E402" i="16"/>
  <c r="E371" i="16"/>
  <c r="A404" i="16"/>
  <c r="E373" i="16" l="1"/>
  <c r="E404" i="16"/>
  <c r="A406" i="16"/>
  <c r="E375" i="16" l="1"/>
  <c r="E406" i="16"/>
  <c r="A408" i="16"/>
  <c r="A410" i="16" l="1"/>
  <c r="E408" i="16"/>
  <c r="E377" i="16"/>
  <c r="E379" i="16" l="1"/>
  <c r="A412" i="16"/>
  <c r="A155" i="16" s="1"/>
  <c r="E410" i="16"/>
  <c r="E155" i="16" l="1"/>
  <c r="A156" i="16"/>
  <c r="A190" i="16"/>
  <c r="A110" i="16" s="1"/>
  <c r="E412" i="16"/>
  <c r="E381" i="16"/>
  <c r="E156" i="16" l="1"/>
  <c r="A157" i="16"/>
  <c r="E110" i="16"/>
  <c r="E190" i="16"/>
  <c r="A191" i="16"/>
  <c r="A234" i="16" s="1"/>
  <c r="E383" i="16"/>
  <c r="E157" i="16" l="1"/>
  <c r="A158" i="16"/>
  <c r="A235" i="16"/>
  <c r="E235" i="16" s="1"/>
  <c r="E234" i="16"/>
  <c r="E385" i="16"/>
  <c r="A418" i="16"/>
  <c r="E191" i="16"/>
  <c r="E158" i="16" l="1"/>
  <c r="A159" i="16"/>
  <c r="E418" i="16"/>
  <c r="A420" i="16"/>
  <c r="E387" i="16"/>
  <c r="E159" i="16" l="1"/>
  <c r="A160" i="16"/>
  <c r="E160" i="16" s="1"/>
  <c r="A422" i="16"/>
  <c r="E389" i="16"/>
  <c r="E420" i="16"/>
  <c r="E391" i="16" l="1"/>
  <c r="E422" i="16"/>
  <c r="A424" i="16"/>
  <c r="E424" i="16" l="1"/>
  <c r="A426" i="16"/>
  <c r="E393" i="16"/>
  <c r="E395" i="16" l="1"/>
  <c r="A428" i="16"/>
  <c r="E426" i="16"/>
  <c r="E428" i="16" l="1"/>
  <c r="E397" i="16"/>
  <c r="A430" i="16"/>
  <c r="A82" i="16" s="1"/>
  <c r="A276" i="16" l="1"/>
  <c r="E82" i="16"/>
  <c r="E399" i="16"/>
  <c r="A193" i="16"/>
  <c r="A217" i="16" s="1"/>
  <c r="E430" i="16"/>
  <c r="E217" i="16" l="1"/>
  <c r="A218" i="16"/>
  <c r="E218" i="16" s="1"/>
  <c r="A278" i="16"/>
  <c r="E278" i="16" s="1"/>
  <c r="E276" i="16"/>
  <c r="A194" i="16"/>
  <c r="E401" i="16"/>
  <c r="E193" i="16"/>
  <c r="A219" i="16" l="1"/>
  <c r="E219" i="16" s="1"/>
  <c r="E194" i="16"/>
  <c r="E403" i="16"/>
  <c r="A195" i="16"/>
  <c r="A220" i="16" l="1"/>
  <c r="E220" i="16" s="1"/>
  <c r="A438" i="16"/>
  <c r="E195" i="16"/>
  <c r="E405" i="16"/>
  <c r="A221" i="16" l="1"/>
  <c r="E221" i="16" s="1"/>
  <c r="A440" i="16"/>
  <c r="E438" i="16"/>
  <c r="E407" i="16"/>
  <c r="A222" i="16" l="1"/>
  <c r="A223" i="16" s="1"/>
  <c r="A442" i="16"/>
  <c r="E440" i="16"/>
  <c r="E409" i="16"/>
  <c r="E222" i="16" l="1"/>
  <c r="E223" i="16"/>
  <c r="A224" i="16"/>
  <c r="A444" i="16"/>
  <c r="E442" i="16"/>
  <c r="E411" i="16"/>
  <c r="E224" i="16" l="1"/>
  <c r="A225" i="16"/>
  <c r="E413" i="16"/>
  <c r="A446" i="16"/>
  <c r="E444" i="16"/>
  <c r="E225" i="16" l="1"/>
  <c r="A226" i="16"/>
  <c r="E446" i="16"/>
  <c r="A448" i="16"/>
  <c r="E415" i="16"/>
  <c r="A227" i="16" l="1"/>
  <c r="E226" i="16"/>
  <c r="E417" i="16"/>
  <c r="A450" i="16"/>
  <c r="E448" i="16"/>
  <c r="A250" i="16" l="1"/>
  <c r="E227" i="16"/>
  <c r="E419" i="16"/>
  <c r="E450" i="16"/>
  <c r="A452" i="16"/>
  <c r="E250" i="16" l="1"/>
  <c r="A251" i="16"/>
  <c r="E452" i="16"/>
  <c r="E421" i="16"/>
  <c r="A454" i="16"/>
  <c r="E251" i="16" l="1"/>
  <c r="A252" i="16"/>
  <c r="E423" i="16"/>
  <c r="E454" i="16"/>
  <c r="A456" i="16"/>
  <c r="E252" i="16" l="1"/>
  <c r="A253" i="16"/>
  <c r="E425" i="16"/>
  <c r="E456" i="16"/>
  <c r="A458" i="16"/>
  <c r="E253" i="16" l="1"/>
  <c r="A254" i="16"/>
  <c r="E254" i="16" s="1"/>
  <c r="E427" i="16"/>
  <c r="E458" i="16"/>
  <c r="A460" i="16"/>
  <c r="A462" i="16" l="1"/>
  <c r="E429" i="16"/>
  <c r="E460" i="16"/>
  <c r="A464" i="16" l="1"/>
  <c r="E462" i="16"/>
  <c r="E431" i="16"/>
  <c r="A466" i="16" l="1"/>
  <c r="E464" i="16"/>
  <c r="E433" i="16"/>
  <c r="E466" i="16" l="1"/>
  <c r="A468" i="16"/>
  <c r="E435" i="16"/>
  <c r="A470" i="16" l="1"/>
  <c r="E468" i="16"/>
  <c r="E437" i="16"/>
  <c r="E470" i="16" l="1"/>
  <c r="E439" i="16"/>
  <c r="A472" i="16"/>
  <c r="E472" i="16" l="1"/>
  <c r="A474" i="16"/>
  <c r="E441" i="16"/>
  <c r="A476" i="16" l="1"/>
  <c r="E443" i="16"/>
  <c r="E474" i="16"/>
  <c r="E445" i="16" l="1"/>
  <c r="E476" i="16"/>
  <c r="A478" i="16"/>
  <c r="E447" i="16" l="1"/>
  <c r="A480" i="16"/>
  <c r="E478" i="16"/>
  <c r="A482" i="16" l="1"/>
  <c r="E449" i="16"/>
  <c r="E480" i="16"/>
  <c r="E482" i="16" l="1"/>
  <c r="E451" i="16"/>
  <c r="A484" i="16"/>
  <c r="A486" i="16" l="1"/>
  <c r="E453" i="16"/>
  <c r="E484" i="16"/>
  <c r="A488" i="16" l="1"/>
  <c r="E455" i="16"/>
  <c r="E486" i="16"/>
  <c r="A490" i="16" l="1"/>
  <c r="E488" i="16"/>
  <c r="E457" i="16"/>
  <c r="E459" i="16" l="1"/>
  <c r="A492" i="16"/>
  <c r="E490" i="16"/>
  <c r="A494" i="16" l="1"/>
  <c r="E461" i="16"/>
  <c r="E492" i="16"/>
  <c r="E463" i="16" l="1"/>
  <c r="E494" i="16"/>
  <c r="A496" i="16"/>
  <c r="E465" i="16" l="1"/>
  <c r="E496" i="16"/>
  <c r="A497" i="16"/>
  <c r="A498" i="16" l="1"/>
  <c r="E497" i="16"/>
  <c r="E467" i="16"/>
  <c r="E498" i="16" l="1"/>
  <c r="E469" i="16"/>
  <c r="A499" i="16"/>
  <c r="E499" i="16" l="1"/>
  <c r="E471" i="16"/>
  <c r="A500" i="16"/>
  <c r="A501" i="16" l="1"/>
  <c r="E500" i="16"/>
  <c r="E473" i="16"/>
  <c r="E501" i="16" l="1"/>
  <c r="E475" i="16"/>
  <c r="A502" i="16"/>
  <c r="A503" i="16" l="1"/>
  <c r="E477" i="16"/>
  <c r="E502" i="16"/>
  <c r="A504" i="16" l="1"/>
  <c r="E503" i="16"/>
  <c r="E479" i="16"/>
  <c r="E481" i="16" l="1"/>
  <c r="A505" i="16"/>
  <c r="E504" i="16"/>
  <c r="E505" i="16" l="1"/>
  <c r="A506" i="16"/>
  <c r="E483" i="16"/>
  <c r="A507" i="16" l="1"/>
  <c r="E506" i="16"/>
  <c r="E485" i="16"/>
  <c r="E507" i="16" l="1"/>
  <c r="E487" i="16"/>
  <c r="A508" i="16"/>
  <c r="E489" i="16" l="1"/>
  <c r="E508" i="16"/>
  <c r="A509" i="16"/>
  <c r="A510" i="16" l="1"/>
  <c r="E509" i="16"/>
  <c r="E491" i="16"/>
  <c r="E510" i="16" l="1"/>
  <c r="E493" i="16"/>
  <c r="A511" i="16"/>
  <c r="E495" i="16" l="1"/>
  <c r="E51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tc={4FB6130B-6832-41F6-80CB-1EAC1BD617B9}</author>
  </authors>
  <commentList>
    <comment ref="A1" authorId="0" shapeId="0" xr:uid="{4FB6130B-6832-41F6-80CB-1EAC1BD617B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close the sheet if you are not using it so updates get saved properly.</t>
      </text>
    </comment>
  </commentList>
</comments>
</file>

<file path=xl/sharedStrings.xml><?xml version="1.0" encoding="utf-8"?>
<sst xmlns="http://schemas.openxmlformats.org/spreadsheetml/2006/main" count="11369" uniqueCount="4655">
  <si>
    <t xml:space="preserve">Supplier Feedback - 120/180 MVA Transformer </t>
  </si>
  <si>
    <t>Dealer</t>
  </si>
  <si>
    <t>Manufacturer</t>
  </si>
  <si>
    <t>Lead Time (wks)</t>
  </si>
  <si>
    <t>Estimated Cost</t>
  </si>
  <si>
    <t>Estimated Delivery</t>
  </si>
  <si>
    <t>Production Slot Purchasing?</t>
  </si>
  <si>
    <t>Additional Notes</t>
  </si>
  <si>
    <t>Power Asset Recovery Corp.</t>
  </si>
  <si>
    <t>Searching</t>
  </si>
  <si>
    <t>Mars Transformers</t>
  </si>
  <si>
    <t>Recommended 13.8kv on Secondary Side</t>
  </si>
  <si>
    <t>Virginia Transformer</t>
  </si>
  <si>
    <t>Sunbelt</t>
  </si>
  <si>
    <t>No Quote - Can't Find Anything</t>
  </si>
  <si>
    <t>Option 1</t>
  </si>
  <si>
    <t>120/160/200//224 MVA 138kv Delta - 34.5kv Grounded Wye Secondary</t>
  </si>
  <si>
    <t>Option 2</t>
  </si>
  <si>
    <t>180/240/300//336 MVA 138kv Delta - 34.5kv Grounded Wye Secondary</t>
  </si>
  <si>
    <t>Option 3</t>
  </si>
  <si>
    <t>Option 4</t>
  </si>
  <si>
    <t>Rate (annual)</t>
  </si>
  <si>
    <t>Upfront</t>
  </si>
  <si>
    <t>60 Months (Monthly Payment)</t>
  </si>
  <si>
    <t>Rate (monthly)</t>
  </si>
  <si>
    <t>Total</t>
  </si>
  <si>
    <t>PV of Monthly</t>
  </si>
  <si>
    <t xml:space="preserve">Total PV </t>
  </si>
  <si>
    <t>Container</t>
  </si>
  <si>
    <t>Miner Type</t>
  </si>
  <si>
    <t>Status</t>
  </si>
  <si>
    <t>Miner Capacity</t>
  </si>
  <si>
    <t>Miner Manufacturer</t>
  </si>
  <si>
    <t>Phase</t>
  </si>
  <si>
    <t>Feeder Name</t>
  </si>
  <si>
    <t>Switch #</t>
  </si>
  <si>
    <t>High Voltage</t>
  </si>
  <si>
    <t>XF #</t>
  </si>
  <si>
    <t>XF SN</t>
  </si>
  <si>
    <t>XF Manufacturer</t>
  </si>
  <si>
    <t>XF KvA</t>
  </si>
  <si>
    <t>Fluid Type</t>
  </si>
  <si>
    <t>Container Manufacturer</t>
  </si>
  <si>
    <t>Notes</t>
  </si>
  <si>
    <t>*TP01</t>
  </si>
  <si>
    <t>Mara T2</t>
  </si>
  <si>
    <t>Deployed</t>
  </si>
  <si>
    <t>Bitmain</t>
  </si>
  <si>
    <t>1A</t>
  </si>
  <si>
    <t>SW001-A</t>
  </si>
  <si>
    <t>6.9KV</t>
  </si>
  <si>
    <t>XF000</t>
  </si>
  <si>
    <t>CIE</t>
  </si>
  <si>
    <t>OIL</t>
  </si>
  <si>
    <t>Fbox</t>
  </si>
  <si>
    <t>*TP02</t>
  </si>
  <si>
    <t>Whatsminer M63S</t>
  </si>
  <si>
    <t>Energized</t>
  </si>
  <si>
    <t>---</t>
  </si>
  <si>
    <t>MicroBT</t>
  </si>
  <si>
    <t>*****</t>
  </si>
  <si>
    <t>**********</t>
  </si>
  <si>
    <t>Hydro</t>
  </si>
  <si>
    <t>Hash House</t>
  </si>
  <si>
    <t>C000</t>
  </si>
  <si>
    <t>XF001</t>
  </si>
  <si>
    <t>C001</t>
  </si>
  <si>
    <t>Teraflux AI3680</t>
  </si>
  <si>
    <t>Auradine</t>
  </si>
  <si>
    <t>Submer</t>
  </si>
  <si>
    <t>C002</t>
  </si>
  <si>
    <t>XF002</t>
  </si>
  <si>
    <t>C003</t>
  </si>
  <si>
    <t>BixBit Hydro</t>
  </si>
  <si>
    <t>Offline</t>
  </si>
  <si>
    <t>C004</t>
  </si>
  <si>
    <t>Whatsminer M56S++</t>
  </si>
  <si>
    <t>11A</t>
  </si>
  <si>
    <t>SW002-A</t>
  </si>
  <si>
    <t>34.5KV</t>
  </si>
  <si>
    <t>XF003</t>
  </si>
  <si>
    <t xml:space="preserve">Jiangsu Dabbojin </t>
  </si>
  <si>
    <t>FR3</t>
  </si>
  <si>
    <t>C005</t>
  </si>
  <si>
    <t>C006</t>
  </si>
  <si>
    <t>SW002-B</t>
  </si>
  <si>
    <t>XF004</t>
  </si>
  <si>
    <t>C007</t>
  </si>
  <si>
    <t>C008</t>
  </si>
  <si>
    <t>XF005</t>
  </si>
  <si>
    <t>C009</t>
  </si>
  <si>
    <t>C010</t>
  </si>
  <si>
    <t>1+</t>
  </si>
  <si>
    <t>11B</t>
  </si>
  <si>
    <t>SW003-A</t>
  </si>
  <si>
    <t>XF006</t>
  </si>
  <si>
    <t>JC 2800-2415</t>
  </si>
  <si>
    <t>JCL Energy</t>
  </si>
  <si>
    <t>C011</t>
  </si>
  <si>
    <t>C012</t>
  </si>
  <si>
    <t>XF007</t>
  </si>
  <si>
    <t>JC2600-2418</t>
  </si>
  <si>
    <t>C013</t>
  </si>
  <si>
    <t>Whatsminer M66S</t>
  </si>
  <si>
    <t>C014</t>
  </si>
  <si>
    <t>Greenhash Hydro</t>
  </si>
  <si>
    <t>1B</t>
  </si>
  <si>
    <t>SW001-B</t>
  </si>
  <si>
    <t>XF008</t>
  </si>
  <si>
    <t>ST1121-353953</t>
  </si>
  <si>
    <t>C015</t>
  </si>
  <si>
    <t>Fog Hashing Hydro</t>
  </si>
  <si>
    <t>C016</t>
  </si>
  <si>
    <t>Fbox Hydro</t>
  </si>
  <si>
    <t>2A</t>
  </si>
  <si>
    <t>SW001-C</t>
  </si>
  <si>
    <t>XF009</t>
  </si>
  <si>
    <t>ST1121-353951</t>
  </si>
  <si>
    <t>C017</t>
  </si>
  <si>
    <t>Antminer S21</t>
  </si>
  <si>
    <t>C018</t>
  </si>
  <si>
    <t>XF010</t>
  </si>
  <si>
    <t>C019</t>
  </si>
  <si>
    <t>C020</t>
  </si>
  <si>
    <t>XF011</t>
  </si>
  <si>
    <t>C021</t>
  </si>
  <si>
    <t>C022</t>
  </si>
  <si>
    <t>XF012</t>
  </si>
  <si>
    <t>C023</t>
  </si>
  <si>
    <t>C024</t>
  </si>
  <si>
    <t>XF013</t>
  </si>
  <si>
    <t>JC2600-2413</t>
  </si>
  <si>
    <t>C025</t>
  </si>
  <si>
    <t>C026</t>
  </si>
  <si>
    <t>XF014</t>
  </si>
  <si>
    <t>JC2600-2416</t>
  </si>
  <si>
    <t>C027</t>
  </si>
  <si>
    <t>C028</t>
  </si>
  <si>
    <t>XF015</t>
  </si>
  <si>
    <t>ST1121-353960</t>
  </si>
  <si>
    <t>C029</t>
  </si>
  <si>
    <t>C030</t>
  </si>
  <si>
    <t>XF016</t>
  </si>
  <si>
    <t>ST1121-353962</t>
  </si>
  <si>
    <t>C031</t>
  </si>
  <si>
    <t>C032</t>
  </si>
  <si>
    <t>XF017</t>
  </si>
  <si>
    <t>C033</t>
  </si>
  <si>
    <t>C034</t>
  </si>
  <si>
    <t>XF018</t>
  </si>
  <si>
    <t>C035</t>
  </si>
  <si>
    <t>C036</t>
  </si>
  <si>
    <t>XF019</t>
  </si>
  <si>
    <t>C037</t>
  </si>
  <si>
    <t>C038</t>
  </si>
  <si>
    <t>XF020</t>
  </si>
  <si>
    <t>JC2600-2414</t>
  </si>
  <si>
    <t>C039</t>
  </si>
  <si>
    <t>C040</t>
  </si>
  <si>
    <t>XF021</t>
  </si>
  <si>
    <t>C041</t>
  </si>
  <si>
    <t>C042</t>
  </si>
  <si>
    <t>XF022</t>
  </si>
  <si>
    <t>ST1121-353955</t>
  </si>
  <si>
    <t>C043</t>
  </si>
  <si>
    <t>C044</t>
  </si>
  <si>
    <t>XF023</t>
  </si>
  <si>
    <t>TBV8381-01</t>
  </si>
  <si>
    <t>C045</t>
  </si>
  <si>
    <t>C046</t>
  </si>
  <si>
    <t>XF024</t>
  </si>
  <si>
    <t>C047</t>
  </si>
  <si>
    <t>C048</t>
  </si>
  <si>
    <t>TAE BESS</t>
  </si>
  <si>
    <t>--</t>
  </si>
  <si>
    <t>XF025</t>
  </si>
  <si>
    <t>TAE</t>
  </si>
  <si>
    <t>Not Installed</t>
  </si>
  <si>
    <t>C049</t>
  </si>
  <si>
    <t>C050</t>
  </si>
  <si>
    <t>XF026</t>
  </si>
  <si>
    <t>C051</t>
  </si>
  <si>
    <t>C052</t>
  </si>
  <si>
    <t>Whatsminer M56S++ / M66S</t>
  </si>
  <si>
    <t>XF027</t>
  </si>
  <si>
    <t>JC2600-2408</t>
  </si>
  <si>
    <t>C053</t>
  </si>
  <si>
    <t>C054</t>
  </si>
  <si>
    <t>XF028</t>
  </si>
  <si>
    <t>C055</t>
  </si>
  <si>
    <t>C056</t>
  </si>
  <si>
    <t>SW003-B</t>
  </si>
  <si>
    <t>XF029</t>
  </si>
  <si>
    <t>C057</t>
  </si>
  <si>
    <t>C058</t>
  </si>
  <si>
    <t>XF030</t>
  </si>
  <si>
    <t>C059</t>
  </si>
  <si>
    <t>C060</t>
  </si>
  <si>
    <t>XF031</t>
  </si>
  <si>
    <t>C061</t>
  </si>
  <si>
    <t>C062</t>
  </si>
  <si>
    <t>XF032</t>
  </si>
  <si>
    <t>C063</t>
  </si>
  <si>
    <t>C064</t>
  </si>
  <si>
    <t>XF033</t>
  </si>
  <si>
    <t>C065</t>
  </si>
  <si>
    <t>C066</t>
  </si>
  <si>
    <t>XF034</t>
  </si>
  <si>
    <t>C067</t>
  </si>
  <si>
    <t>C068</t>
  </si>
  <si>
    <t>XF035</t>
  </si>
  <si>
    <t>C069</t>
  </si>
  <si>
    <t>C070</t>
  </si>
  <si>
    <t>XF036</t>
  </si>
  <si>
    <t>C071</t>
  </si>
  <si>
    <t>C072</t>
  </si>
  <si>
    <t>11C</t>
  </si>
  <si>
    <t>SW004-A</t>
  </si>
  <si>
    <t>XF037</t>
  </si>
  <si>
    <t>M22E15968</t>
  </si>
  <si>
    <t>C073</t>
  </si>
  <si>
    <t>C074</t>
  </si>
  <si>
    <t>XF038</t>
  </si>
  <si>
    <t>M22D24605</t>
  </si>
  <si>
    <t>C075</t>
  </si>
  <si>
    <t>C076</t>
  </si>
  <si>
    <t>XF039</t>
  </si>
  <si>
    <t>M22E15969</t>
  </si>
  <si>
    <t>C077</t>
  </si>
  <si>
    <t>C078</t>
  </si>
  <si>
    <t>XF040</t>
  </si>
  <si>
    <t>C079</t>
  </si>
  <si>
    <t>C080</t>
  </si>
  <si>
    <t>SW004-B</t>
  </si>
  <si>
    <t>XF041</t>
  </si>
  <si>
    <t>M222D24612</t>
  </si>
  <si>
    <t>C081</t>
  </si>
  <si>
    <t>C082</t>
  </si>
  <si>
    <t>XF042</t>
  </si>
  <si>
    <t>M21F19311</t>
  </si>
  <si>
    <t>C083</t>
  </si>
  <si>
    <t>C084</t>
  </si>
  <si>
    <t>XF043</t>
  </si>
  <si>
    <t>C085</t>
  </si>
  <si>
    <t>C086</t>
  </si>
  <si>
    <t>XF044</t>
  </si>
  <si>
    <t>C087</t>
  </si>
  <si>
    <t>C088</t>
  </si>
  <si>
    <t>12A</t>
  </si>
  <si>
    <t>SW005-A</t>
  </si>
  <si>
    <t>XF045</t>
  </si>
  <si>
    <t>M22D24604</t>
  </si>
  <si>
    <t>C089</t>
  </si>
  <si>
    <t>C090</t>
  </si>
  <si>
    <t>XF046</t>
  </si>
  <si>
    <t>M22D24603</t>
  </si>
  <si>
    <t>C091</t>
  </si>
  <si>
    <t>C092</t>
  </si>
  <si>
    <t>XF047</t>
  </si>
  <si>
    <t>M21F19627</t>
  </si>
  <si>
    <t>C093</t>
  </si>
  <si>
    <t>C094</t>
  </si>
  <si>
    <t>XF048</t>
  </si>
  <si>
    <t>M22D24607</t>
  </si>
  <si>
    <t>C095</t>
  </si>
  <si>
    <t>C096</t>
  </si>
  <si>
    <t>XF049</t>
  </si>
  <si>
    <t>C097</t>
  </si>
  <si>
    <t>C098</t>
  </si>
  <si>
    <t>XF050</t>
  </si>
  <si>
    <t>JC2550-22121</t>
  </si>
  <si>
    <t>C099</t>
  </si>
  <si>
    <t>C100</t>
  </si>
  <si>
    <t>XF051</t>
  </si>
  <si>
    <t>M21F19309</t>
  </si>
  <si>
    <t>C101</t>
  </si>
  <si>
    <t>C102</t>
  </si>
  <si>
    <t>XF052</t>
  </si>
  <si>
    <t>M21F19307</t>
  </si>
  <si>
    <t>C103</t>
  </si>
  <si>
    <t>C104</t>
  </si>
  <si>
    <t>XF053</t>
  </si>
  <si>
    <t>M21F19626</t>
  </si>
  <si>
    <t>C105</t>
  </si>
  <si>
    <t>C106</t>
  </si>
  <si>
    <t>XF054</t>
  </si>
  <si>
    <t>M21F19628</t>
  </si>
  <si>
    <t>C107</t>
  </si>
  <si>
    <t>C108</t>
  </si>
  <si>
    <t>SW005-B</t>
  </si>
  <si>
    <t>XF055</t>
  </si>
  <si>
    <t>C109</t>
  </si>
  <si>
    <t>C110</t>
  </si>
  <si>
    <t>XF056</t>
  </si>
  <si>
    <t>C111</t>
  </si>
  <si>
    <t>C112</t>
  </si>
  <si>
    <t>XF057</t>
  </si>
  <si>
    <t>C113</t>
  </si>
  <si>
    <t>C114</t>
  </si>
  <si>
    <t>XF058</t>
  </si>
  <si>
    <t>C115</t>
  </si>
  <si>
    <t>C116</t>
  </si>
  <si>
    <t>XF059</t>
  </si>
  <si>
    <t>C117</t>
  </si>
  <si>
    <t>C118</t>
  </si>
  <si>
    <t>XF060</t>
  </si>
  <si>
    <t>M22E15964</t>
  </si>
  <si>
    <t>C119</t>
  </si>
  <si>
    <t>C120</t>
  </si>
  <si>
    <t>XF061</t>
  </si>
  <si>
    <t>C121</t>
  </si>
  <si>
    <t>C122</t>
  </si>
  <si>
    <t>XF062</t>
  </si>
  <si>
    <t>C123</t>
  </si>
  <si>
    <t>C124</t>
  </si>
  <si>
    <t>XF063</t>
  </si>
  <si>
    <t>C125</t>
  </si>
  <si>
    <t>C126</t>
  </si>
  <si>
    <t>XF064</t>
  </si>
  <si>
    <t>C127</t>
  </si>
  <si>
    <t>C128</t>
  </si>
  <si>
    <t>12B</t>
  </si>
  <si>
    <t>SW006-A</t>
  </si>
  <si>
    <t>XF065</t>
  </si>
  <si>
    <t>C129</t>
  </si>
  <si>
    <t>C130</t>
  </si>
  <si>
    <t>XF066</t>
  </si>
  <si>
    <t>C131</t>
  </si>
  <si>
    <t>C132</t>
  </si>
  <si>
    <t>XF067</t>
  </si>
  <si>
    <t>C133</t>
  </si>
  <si>
    <t>C134</t>
  </si>
  <si>
    <t>XF068</t>
  </si>
  <si>
    <t>C135</t>
  </si>
  <si>
    <t>C136</t>
  </si>
  <si>
    <t>XF069</t>
  </si>
  <si>
    <t>C137</t>
  </si>
  <si>
    <t>C138</t>
  </si>
  <si>
    <t>XF070</t>
  </si>
  <si>
    <t>C139</t>
  </si>
  <si>
    <t>C140</t>
  </si>
  <si>
    <t>XF071</t>
  </si>
  <si>
    <t>C141</t>
  </si>
  <si>
    <t>C142</t>
  </si>
  <si>
    <t>XF072</t>
  </si>
  <si>
    <t>C143</t>
  </si>
  <si>
    <t>C144</t>
  </si>
  <si>
    <t>XF073</t>
  </si>
  <si>
    <t>C145</t>
  </si>
  <si>
    <t>C146</t>
  </si>
  <si>
    <t>XF074</t>
  </si>
  <si>
    <t>C147</t>
  </si>
  <si>
    <t>C148</t>
  </si>
  <si>
    <t>SW006-B</t>
  </si>
  <si>
    <t>XF075</t>
  </si>
  <si>
    <t>C149</t>
  </si>
  <si>
    <t>C150</t>
  </si>
  <si>
    <t>XF076</t>
  </si>
  <si>
    <t>C151</t>
  </si>
  <si>
    <t>C152</t>
  </si>
  <si>
    <t>XF077</t>
  </si>
  <si>
    <t>C153</t>
  </si>
  <si>
    <t>C154</t>
  </si>
  <si>
    <t>XF078</t>
  </si>
  <si>
    <t>C155</t>
  </si>
  <si>
    <t>C156</t>
  </si>
  <si>
    <t>XF079</t>
  </si>
  <si>
    <t>C157</t>
  </si>
  <si>
    <t>C158</t>
  </si>
  <si>
    <t>XF080</t>
  </si>
  <si>
    <t>C159</t>
  </si>
  <si>
    <t>C160</t>
  </si>
  <si>
    <t>XF081</t>
  </si>
  <si>
    <t>C161</t>
  </si>
  <si>
    <t>C162</t>
  </si>
  <si>
    <t>XF082</t>
  </si>
  <si>
    <t>M21F19629</t>
  </si>
  <si>
    <t>C163</t>
  </si>
  <si>
    <t>C164</t>
  </si>
  <si>
    <t>XF083</t>
  </si>
  <si>
    <t>C165</t>
  </si>
  <si>
    <t>C166</t>
  </si>
  <si>
    <t>XF084</t>
  </si>
  <si>
    <t>M21F19617</t>
  </si>
  <si>
    <t>C167</t>
  </si>
  <si>
    <t>C168</t>
  </si>
  <si>
    <t>12C</t>
  </si>
  <si>
    <t>SW007-A</t>
  </si>
  <si>
    <t>XF085</t>
  </si>
  <si>
    <t>M21F19615</t>
  </si>
  <si>
    <t>C169</t>
  </si>
  <si>
    <t>C170</t>
  </si>
  <si>
    <t>XF086</t>
  </si>
  <si>
    <t>JC2550-22125</t>
  </si>
  <si>
    <t>C171</t>
  </si>
  <si>
    <t>C172</t>
  </si>
  <si>
    <t>XF087</t>
  </si>
  <si>
    <t>M21F19625</t>
  </si>
  <si>
    <t>C173</t>
  </si>
  <si>
    <t>C174</t>
  </si>
  <si>
    <t>XF088</t>
  </si>
  <si>
    <t>M21F19310</t>
  </si>
  <si>
    <t>C175</t>
  </si>
  <si>
    <t>C176</t>
  </si>
  <si>
    <t>XF089</t>
  </si>
  <si>
    <t>JC2550-22123</t>
  </si>
  <si>
    <t>C177</t>
  </si>
  <si>
    <t>C178</t>
  </si>
  <si>
    <t>XF090</t>
  </si>
  <si>
    <t>JC2550-22117</t>
  </si>
  <si>
    <t>C179</t>
  </si>
  <si>
    <t>C180</t>
  </si>
  <si>
    <t>XF091</t>
  </si>
  <si>
    <t>JC2550-22130</t>
  </si>
  <si>
    <t>C181</t>
  </si>
  <si>
    <t>C182</t>
  </si>
  <si>
    <t>XF092</t>
  </si>
  <si>
    <t>JC2550-22120</t>
  </si>
  <si>
    <t>C183</t>
  </si>
  <si>
    <t>C184</t>
  </si>
  <si>
    <t>XF093</t>
  </si>
  <si>
    <t>M22D18708</t>
  </si>
  <si>
    <t>C185</t>
  </si>
  <si>
    <t>C186</t>
  </si>
  <si>
    <t>** NOT USED **</t>
  </si>
  <si>
    <t>XF094</t>
  </si>
  <si>
    <t>Not used due to power limitations of the substation transformer/HV cables</t>
  </si>
  <si>
    <t>C187</t>
  </si>
  <si>
    <t>C188</t>
  </si>
  <si>
    <t>Whatsminer M60S</t>
  </si>
  <si>
    <t>24C</t>
  </si>
  <si>
    <t>N/A</t>
  </si>
  <si>
    <t>13.8KV</t>
  </si>
  <si>
    <t>XF095</t>
  </si>
  <si>
    <t>M22B19432</t>
  </si>
  <si>
    <t>RK</t>
  </si>
  <si>
    <t>C189</t>
  </si>
  <si>
    <t>SW007-B</t>
  </si>
  <si>
    <t>XF096</t>
  </si>
  <si>
    <t>JC2550-22119</t>
  </si>
  <si>
    <t>C190</t>
  </si>
  <si>
    <t>C191</t>
  </si>
  <si>
    <t>XF097</t>
  </si>
  <si>
    <t>JCL2550-22128</t>
  </si>
  <si>
    <t>C192</t>
  </si>
  <si>
    <t>C193</t>
  </si>
  <si>
    <t>XF098</t>
  </si>
  <si>
    <t>M21F19630</t>
  </si>
  <si>
    <t>C194</t>
  </si>
  <si>
    <t>C195</t>
  </si>
  <si>
    <t>XF099</t>
  </si>
  <si>
    <t>M21F19308</t>
  </si>
  <si>
    <t>C196</t>
  </si>
  <si>
    <t>C197</t>
  </si>
  <si>
    <t>XF100</t>
  </si>
  <si>
    <t>M22D24608</t>
  </si>
  <si>
    <t>C198</t>
  </si>
  <si>
    <t>C199</t>
  </si>
  <si>
    <t>XF101</t>
  </si>
  <si>
    <t>M22D24606</t>
  </si>
  <si>
    <t>C200</t>
  </si>
  <si>
    <t>C201</t>
  </si>
  <si>
    <t>XF102</t>
  </si>
  <si>
    <t>M22E11697</t>
  </si>
  <si>
    <t>C202</t>
  </si>
  <si>
    <t>C203</t>
  </si>
  <si>
    <t>XF103</t>
  </si>
  <si>
    <t>JC2550-22124</t>
  </si>
  <si>
    <t>C204</t>
  </si>
  <si>
    <t>C205</t>
  </si>
  <si>
    <t>XF104</t>
  </si>
  <si>
    <t>M22D24610</t>
  </si>
  <si>
    <t>C206</t>
  </si>
  <si>
    <t>C207</t>
  </si>
  <si>
    <t>XF105</t>
  </si>
  <si>
    <t>C208</t>
  </si>
  <si>
    <t>C209</t>
  </si>
  <si>
    <t>24B</t>
  </si>
  <si>
    <t>XF106</t>
  </si>
  <si>
    <t>M22A16812</t>
  </si>
  <si>
    <t>C210</t>
  </si>
  <si>
    <t>Empty</t>
  </si>
  <si>
    <t>XF107</t>
  </si>
  <si>
    <t>M22A10210</t>
  </si>
  <si>
    <t>Power off when phase 6 energized.</t>
  </si>
  <si>
    <t>C211</t>
  </si>
  <si>
    <t>21A</t>
  </si>
  <si>
    <t>XF108</t>
  </si>
  <si>
    <t>M22A29009 Changed it out. 1/7/25</t>
  </si>
  <si>
    <t>C212</t>
  </si>
  <si>
    <t>C213</t>
  </si>
  <si>
    <t>XF109</t>
  </si>
  <si>
    <t>M22A10212</t>
  </si>
  <si>
    <t>C214</t>
  </si>
  <si>
    <t>C215</t>
  </si>
  <si>
    <t>XF110</t>
  </si>
  <si>
    <t>C216</t>
  </si>
  <si>
    <t>C217</t>
  </si>
  <si>
    <t>XF111</t>
  </si>
  <si>
    <t>M22B19444</t>
  </si>
  <si>
    <t>C218</t>
  </si>
  <si>
    <t>C219</t>
  </si>
  <si>
    <t>XF112</t>
  </si>
  <si>
    <t>M22A16802</t>
  </si>
  <si>
    <t>C220</t>
  </si>
  <si>
    <t>C221</t>
  </si>
  <si>
    <t>XF113</t>
  </si>
  <si>
    <t>M22A16804</t>
  </si>
  <si>
    <t>C222</t>
  </si>
  <si>
    <t>C223</t>
  </si>
  <si>
    <t>23C</t>
  </si>
  <si>
    <t>XF114</t>
  </si>
  <si>
    <t>M22A16795</t>
  </si>
  <si>
    <t>C224</t>
  </si>
  <si>
    <t>24A</t>
  </si>
  <si>
    <t>XF115</t>
  </si>
  <si>
    <t>M22A10214</t>
  </si>
  <si>
    <t>C225</t>
  </si>
  <si>
    <t>XF116</t>
  </si>
  <si>
    <t>M22A29005</t>
  </si>
  <si>
    <t>C226</t>
  </si>
  <si>
    <t>XF117</t>
  </si>
  <si>
    <t>M22B19443</t>
  </si>
  <si>
    <t>C227</t>
  </si>
  <si>
    <t>21B</t>
  </si>
  <si>
    <t>XF118</t>
  </si>
  <si>
    <t>C228</t>
  </si>
  <si>
    <t>C229</t>
  </si>
  <si>
    <t>XF119</t>
  </si>
  <si>
    <t>C230</t>
  </si>
  <si>
    <t>C231</t>
  </si>
  <si>
    <t>XF120</t>
  </si>
  <si>
    <t>124021162A</t>
  </si>
  <si>
    <t>C232</t>
  </si>
  <si>
    <t>C233</t>
  </si>
  <si>
    <t>XF121</t>
  </si>
  <si>
    <t>M22A29008</t>
  </si>
  <si>
    <t>C234</t>
  </si>
  <si>
    <t>C235</t>
  </si>
  <si>
    <t>XF122</t>
  </si>
  <si>
    <t>M22A16803</t>
  </si>
  <si>
    <t>C236</t>
  </si>
  <si>
    <t>C237</t>
  </si>
  <si>
    <t>XF123</t>
  </si>
  <si>
    <t>M22A16805</t>
  </si>
  <si>
    <t>C238</t>
  </si>
  <si>
    <t>C239</t>
  </si>
  <si>
    <t>Whatsminer M60</t>
  </si>
  <si>
    <t>XF124</t>
  </si>
  <si>
    <t>M22A10161</t>
  </si>
  <si>
    <t>C240</t>
  </si>
  <si>
    <t>XF125</t>
  </si>
  <si>
    <t>M21K19177</t>
  </si>
  <si>
    <t>C241</t>
  </si>
  <si>
    <t>XF126</t>
  </si>
  <si>
    <t>M22A29004</t>
  </si>
  <si>
    <t>C242</t>
  </si>
  <si>
    <t>XF127</t>
  </si>
  <si>
    <t>124036253A</t>
  </si>
  <si>
    <t>C243</t>
  </si>
  <si>
    <t>21C</t>
  </si>
  <si>
    <t>XF128</t>
  </si>
  <si>
    <t>M22A16793</t>
  </si>
  <si>
    <t>C244</t>
  </si>
  <si>
    <t>22A</t>
  </si>
  <si>
    <t>XF129</t>
  </si>
  <si>
    <t>M22A16794</t>
  </si>
  <si>
    <t>C245</t>
  </si>
  <si>
    <t>Whatsminer M60 / M60S</t>
  </si>
  <si>
    <t>22B</t>
  </si>
  <si>
    <t>XF130</t>
  </si>
  <si>
    <t>M22A10215</t>
  </si>
  <si>
    <t>C246</t>
  </si>
  <si>
    <t>22C</t>
  </si>
  <si>
    <t>XF131</t>
  </si>
  <si>
    <t>M22A29007</t>
  </si>
  <si>
    <t>C247</t>
  </si>
  <si>
    <t>23A</t>
  </si>
  <si>
    <t>XF132</t>
  </si>
  <si>
    <t>M22A16797</t>
  </si>
  <si>
    <t>C248</t>
  </si>
  <si>
    <t>23B</t>
  </si>
  <si>
    <t>XF133</t>
  </si>
  <si>
    <t>M22B19449</t>
  </si>
  <si>
    <t>C249</t>
  </si>
  <si>
    <t>XF134</t>
  </si>
  <si>
    <t>M22A10162</t>
  </si>
  <si>
    <t>C250</t>
  </si>
  <si>
    <t>XF135</t>
  </si>
  <si>
    <t>124036254A</t>
  </si>
  <si>
    <t>C251</t>
  </si>
  <si>
    <t>XF136</t>
  </si>
  <si>
    <t>M22A29012</t>
  </si>
  <si>
    <t>C252</t>
  </si>
  <si>
    <t>XF137</t>
  </si>
  <si>
    <t>M22A29011</t>
  </si>
  <si>
    <t>C253</t>
  </si>
  <si>
    <t>XF138</t>
  </si>
  <si>
    <t>M22A29003</t>
  </si>
  <si>
    <t>C254</t>
  </si>
  <si>
    <t>XF139</t>
  </si>
  <si>
    <t>M22A10213</t>
  </si>
  <si>
    <t>C255</t>
  </si>
  <si>
    <t>XF140</t>
  </si>
  <si>
    <t>M22A29010</t>
  </si>
  <si>
    <t>C256</t>
  </si>
  <si>
    <t>XF141</t>
  </si>
  <si>
    <t>M22B19433</t>
  </si>
  <si>
    <t>C257</t>
  </si>
  <si>
    <t>XF142</t>
  </si>
  <si>
    <t>M21L18180</t>
  </si>
  <si>
    <t>C258</t>
  </si>
  <si>
    <t>XF143</t>
  </si>
  <si>
    <t>M21L18176</t>
  </si>
  <si>
    <t>C259</t>
  </si>
  <si>
    <t>XF144</t>
  </si>
  <si>
    <t>M22B19447</t>
  </si>
  <si>
    <t>C260</t>
  </si>
  <si>
    <t>XF145</t>
  </si>
  <si>
    <t>M21L18174</t>
  </si>
  <si>
    <t>C261</t>
  </si>
  <si>
    <t>XF146</t>
  </si>
  <si>
    <t>M21K19172</t>
  </si>
  <si>
    <t>C262</t>
  </si>
  <si>
    <t>XF147</t>
  </si>
  <si>
    <t>M22B19448</t>
  </si>
  <si>
    <t>C263</t>
  </si>
  <si>
    <t>XF148</t>
  </si>
  <si>
    <t>M22B19434</t>
  </si>
  <si>
    <t>C264</t>
  </si>
  <si>
    <t>XF149</t>
  </si>
  <si>
    <t>M22A10160</t>
  </si>
  <si>
    <t>C265</t>
  </si>
  <si>
    <t>XF150</t>
  </si>
  <si>
    <t>M22B20197</t>
  </si>
  <si>
    <t>C266</t>
  </si>
  <si>
    <t>XF151</t>
  </si>
  <si>
    <t>M22A29002</t>
  </si>
  <si>
    <t>C267</t>
  </si>
  <si>
    <t>XF152</t>
  </si>
  <si>
    <t>M21L18179</t>
  </si>
  <si>
    <t>C268</t>
  </si>
  <si>
    <t>XF153</t>
  </si>
  <si>
    <t>M21L18178</t>
  </si>
  <si>
    <t>C269</t>
  </si>
  <si>
    <t>XF154</t>
  </si>
  <si>
    <t>M21K19176</t>
  </si>
  <si>
    <t>C270</t>
  </si>
  <si>
    <t>XF155</t>
  </si>
  <si>
    <t>M22A29006</t>
  </si>
  <si>
    <t>C271</t>
  </si>
  <si>
    <t>XF156</t>
  </si>
  <si>
    <t>M21K19174</t>
  </si>
  <si>
    <t>C272</t>
  </si>
  <si>
    <t>XF157</t>
  </si>
  <si>
    <t>M22A10154</t>
  </si>
  <si>
    <t>C273</t>
  </si>
  <si>
    <t>XF158</t>
  </si>
  <si>
    <t>M21L18181</t>
  </si>
  <si>
    <t>C274</t>
  </si>
  <si>
    <t>XF159</t>
  </si>
  <si>
    <t>M22A29001</t>
  </si>
  <si>
    <t>C275</t>
  </si>
  <si>
    <t>XF160</t>
  </si>
  <si>
    <t>M22A10155</t>
  </si>
  <si>
    <t>C276</t>
  </si>
  <si>
    <t>XF161</t>
  </si>
  <si>
    <t>M22A10156</t>
  </si>
  <si>
    <t>C277</t>
  </si>
  <si>
    <t>XF162</t>
  </si>
  <si>
    <t>M22A28968</t>
  </si>
  <si>
    <t>C278</t>
  </si>
  <si>
    <t>XF163</t>
  </si>
  <si>
    <t>M22A10153</t>
  </si>
  <si>
    <t>C279</t>
  </si>
  <si>
    <t>XF164</t>
  </si>
  <si>
    <t>M21L18175</t>
  </si>
  <si>
    <t>C280</t>
  </si>
  <si>
    <t>XF165</t>
  </si>
  <si>
    <t>M21L18177</t>
  </si>
  <si>
    <t>C281</t>
  </si>
  <si>
    <t>XF166</t>
  </si>
  <si>
    <t>M22A10157</t>
  </si>
  <si>
    <t>C282</t>
  </si>
  <si>
    <t>XF167</t>
  </si>
  <si>
    <t>469446-237245</t>
  </si>
  <si>
    <t>C283</t>
  </si>
  <si>
    <t>XF168</t>
  </si>
  <si>
    <t>M22A10158</t>
  </si>
  <si>
    <t>C284</t>
  </si>
  <si>
    <t>XF169</t>
  </si>
  <si>
    <t>Maddox</t>
  </si>
  <si>
    <t>TOTAL</t>
  </si>
  <si>
    <t>Group A</t>
  </si>
  <si>
    <t>Group B</t>
  </si>
  <si>
    <t>Group C</t>
  </si>
  <si>
    <t>Group D</t>
  </si>
  <si>
    <t>10.31.0</t>
  </si>
  <si>
    <t>10.31.1</t>
  </si>
  <si>
    <t>10.31.2</t>
  </si>
  <si>
    <t>10.31.3</t>
  </si>
  <si>
    <t>10.31.4</t>
  </si>
  <si>
    <t>10.31.5</t>
  </si>
  <si>
    <t>10.31.6</t>
  </si>
  <si>
    <t>10.31.7</t>
  </si>
  <si>
    <t>10.31.8</t>
  </si>
  <si>
    <t>10.31.9</t>
  </si>
  <si>
    <t>10.31.10</t>
  </si>
  <si>
    <t>10.31.11</t>
  </si>
  <si>
    <t>10.31.12</t>
  </si>
  <si>
    <t>10.31.13</t>
  </si>
  <si>
    <t>10.31.14</t>
  </si>
  <si>
    <t>10.31.15</t>
  </si>
  <si>
    <t>10.31.16</t>
  </si>
  <si>
    <t>10.31.17</t>
  </si>
  <si>
    <t>10.31.18</t>
  </si>
  <si>
    <t>10.31.19</t>
  </si>
  <si>
    <t>10.31.20</t>
  </si>
  <si>
    <t>10.31.21</t>
  </si>
  <si>
    <t>10.31.22</t>
  </si>
  <si>
    <t>10.31.23</t>
  </si>
  <si>
    <t>10.31.24</t>
  </si>
  <si>
    <t>10.31.25</t>
  </si>
  <si>
    <t>10.31.26</t>
  </si>
  <si>
    <t>10.31.27</t>
  </si>
  <si>
    <t>10.31.28</t>
  </si>
  <si>
    <t>10.31.29</t>
  </si>
  <si>
    <t>10.31.30</t>
  </si>
  <si>
    <t>10.31.31</t>
  </si>
  <si>
    <t>10.31.32</t>
  </si>
  <si>
    <t>10.31.33</t>
  </si>
  <si>
    <t>10.31.34</t>
  </si>
  <si>
    <t>10.31.35</t>
  </si>
  <si>
    <t>10.31.36</t>
  </si>
  <si>
    <t>10.31.37</t>
  </si>
  <si>
    <t>10.31.38</t>
  </si>
  <si>
    <t>10.31.39</t>
  </si>
  <si>
    <t>10.31.40</t>
  </si>
  <si>
    <t>10.31.41</t>
  </si>
  <si>
    <t>10.31.42</t>
  </si>
  <si>
    <t>10.31.43</t>
  </si>
  <si>
    <t>10.31.44</t>
  </si>
  <si>
    <t>10.31.45</t>
  </si>
  <si>
    <t>10.31.46</t>
  </si>
  <si>
    <t>10.31.47</t>
  </si>
  <si>
    <t>10.31.48</t>
  </si>
  <si>
    <t>10.31.49</t>
  </si>
  <si>
    <t>10.31.50</t>
  </si>
  <si>
    <t>10.31.51</t>
  </si>
  <si>
    <t>10.31.52</t>
  </si>
  <si>
    <t>10.31.53</t>
  </si>
  <si>
    <t>10.31.54</t>
  </si>
  <si>
    <t>10.31.55</t>
  </si>
  <si>
    <t>10.31.56</t>
  </si>
  <si>
    <t>10.31.57</t>
  </si>
  <si>
    <t>10.31.58</t>
  </si>
  <si>
    <t>10.31.59</t>
  </si>
  <si>
    <t>10.31.60</t>
  </si>
  <si>
    <t>10.31.61</t>
  </si>
  <si>
    <t>10.31.62</t>
  </si>
  <si>
    <t>10.31.63</t>
  </si>
  <si>
    <t>10.31.64</t>
  </si>
  <si>
    <t>10.31.65</t>
  </si>
  <si>
    <t>10.31.66</t>
  </si>
  <si>
    <t>10.31.67</t>
  </si>
  <si>
    <t>10.31.68</t>
  </si>
  <si>
    <t>10.31.69</t>
  </si>
  <si>
    <t>10.31.70</t>
  </si>
  <si>
    <t>10.31.71</t>
  </si>
  <si>
    <t>10.31.72</t>
  </si>
  <si>
    <t>10.31.73</t>
  </si>
  <si>
    <t>10.31.74</t>
  </si>
  <si>
    <t>10.31.75</t>
  </si>
  <si>
    <t>10.31.76</t>
  </si>
  <si>
    <t>10.31.77</t>
  </si>
  <si>
    <t>10.31.78</t>
  </si>
  <si>
    <t>10.31.79</t>
  </si>
  <si>
    <t>10.31.80</t>
  </si>
  <si>
    <t>10.31.81</t>
  </si>
  <si>
    <t>10.31.82</t>
  </si>
  <si>
    <t>10.31.83</t>
  </si>
  <si>
    <t>10.31.84</t>
  </si>
  <si>
    <t>10.31.85</t>
  </si>
  <si>
    <t>10.31.86</t>
  </si>
  <si>
    <t>10.31.87</t>
  </si>
  <si>
    <t>10.31.88</t>
  </si>
  <si>
    <t>10.31.89</t>
  </si>
  <si>
    <t>10.31.90</t>
  </si>
  <si>
    <t>10.31.91</t>
  </si>
  <si>
    <t>10.31.92</t>
  </si>
  <si>
    <t>10.31.93</t>
  </si>
  <si>
    <t>10.31.94</t>
  </si>
  <si>
    <t>10.31.95</t>
  </si>
  <si>
    <t>10.31.96</t>
  </si>
  <si>
    <t>10.31.97</t>
  </si>
  <si>
    <t>10.31.98</t>
  </si>
  <si>
    <t>10.31.99</t>
  </si>
  <si>
    <t>10.31.100</t>
  </si>
  <si>
    <t>10.31.101</t>
  </si>
  <si>
    <t>10.31.102</t>
  </si>
  <si>
    <t>10.31.103</t>
  </si>
  <si>
    <t>10.31.104</t>
  </si>
  <si>
    <t>10.31.105</t>
  </si>
  <si>
    <t>10.31.106</t>
  </si>
  <si>
    <t>10.31.107</t>
  </si>
  <si>
    <t>10.31.108</t>
  </si>
  <si>
    <t>10.31.109</t>
  </si>
  <si>
    <t>10.31.110</t>
  </si>
  <si>
    <t>10.31.111</t>
  </si>
  <si>
    <t>10.31.112</t>
  </si>
  <si>
    <t>10.31.113</t>
  </si>
  <si>
    <t>10.31.114</t>
  </si>
  <si>
    <t>10.31.115</t>
  </si>
  <si>
    <t>10.31.116</t>
  </si>
  <si>
    <t>10.31.117</t>
  </si>
  <si>
    <t>10.31.118</t>
  </si>
  <si>
    <t>10.31.119</t>
  </si>
  <si>
    <t>10.31.120</t>
  </si>
  <si>
    <t>10.31.121</t>
  </si>
  <si>
    <t>10.31.122</t>
  </si>
  <si>
    <t>10.31.123</t>
  </si>
  <si>
    <t>10.31.124</t>
  </si>
  <si>
    <t>10.31.125</t>
  </si>
  <si>
    <t>10.31.126</t>
  </si>
  <si>
    <t>10.31.127</t>
  </si>
  <si>
    <t>10.31.128</t>
  </si>
  <si>
    <t>10.31.129</t>
  </si>
  <si>
    <t>10.31.130</t>
  </si>
  <si>
    <t>10.31.131</t>
  </si>
  <si>
    <t>10.31.132</t>
  </si>
  <si>
    <t>10.31.133</t>
  </si>
  <si>
    <t>10.31.134</t>
  </si>
  <si>
    <t>10.31.135</t>
  </si>
  <si>
    <t>10.31.136</t>
  </si>
  <si>
    <t>10.31.137</t>
  </si>
  <si>
    <t>10.31.138</t>
  </si>
  <si>
    <t>10.31.139</t>
  </si>
  <si>
    <t>10.31.140</t>
  </si>
  <si>
    <t>10.31.141</t>
  </si>
  <si>
    <t>10.31.142</t>
  </si>
  <si>
    <t>10.31.143</t>
  </si>
  <si>
    <t>10.31.144</t>
  </si>
  <si>
    <t>10.31.145</t>
  </si>
  <si>
    <t>10.31.146</t>
  </si>
  <si>
    <t>10.31.147</t>
  </si>
  <si>
    <t>10.31.148</t>
  </si>
  <si>
    <t>10.31.149</t>
  </si>
  <si>
    <t>10.31.150</t>
  </si>
  <si>
    <t>10.31.151</t>
  </si>
  <si>
    <t>10.31.152</t>
  </si>
  <si>
    <t>10.31.153</t>
  </si>
  <si>
    <t>10.31.154</t>
  </si>
  <si>
    <t>10.31.155</t>
  </si>
  <si>
    <t>10.31.156</t>
  </si>
  <si>
    <t>10.31.157</t>
  </si>
  <si>
    <t>10.31.158</t>
  </si>
  <si>
    <t>10.31.159</t>
  </si>
  <si>
    <t>10.31.160</t>
  </si>
  <si>
    <t>10.31.161</t>
  </si>
  <si>
    <t>10.31.162</t>
  </si>
  <si>
    <t>10.31.163</t>
  </si>
  <si>
    <t>10.31.164</t>
  </si>
  <si>
    <t>10.31.165</t>
  </si>
  <si>
    <t>10.31.166</t>
  </si>
  <si>
    <t>10.31.167</t>
  </si>
  <si>
    <t>10.31.168</t>
  </si>
  <si>
    <t>10.31.169</t>
  </si>
  <si>
    <t>10.31.170</t>
  </si>
  <si>
    <t>10.31.171</t>
  </si>
  <si>
    <t>10.31.172</t>
  </si>
  <si>
    <t>10.31.173</t>
  </si>
  <si>
    <t>10.31.174</t>
  </si>
  <si>
    <t>10.31.175</t>
  </si>
  <si>
    <t>10.31.176</t>
  </si>
  <si>
    <t>10.31.177</t>
  </si>
  <si>
    <t>10.31.178</t>
  </si>
  <si>
    <t>10.31.179</t>
  </si>
  <si>
    <t>10.31.180</t>
  </si>
  <si>
    <t>10.31.181</t>
  </si>
  <si>
    <t>10.31.182</t>
  </si>
  <si>
    <t>10.31.183</t>
  </si>
  <si>
    <t>10.31.184</t>
  </si>
  <si>
    <t>10.31.185</t>
  </si>
  <si>
    <t>10.31.186</t>
  </si>
  <si>
    <t>10.31.187</t>
  </si>
  <si>
    <t>10.31.188</t>
  </si>
  <si>
    <t>10.31.189</t>
  </si>
  <si>
    <t>10.31.190</t>
  </si>
  <si>
    <t>10.31.191</t>
  </si>
  <si>
    <t>10.31.192</t>
  </si>
  <si>
    <t>10.31.193</t>
  </si>
  <si>
    <t>10.31.194</t>
  </si>
  <si>
    <t>10.31.195</t>
  </si>
  <si>
    <t>10.31.196</t>
  </si>
  <si>
    <t>10.31.197</t>
  </si>
  <si>
    <t>10.31.198</t>
  </si>
  <si>
    <t>10.31.199</t>
  </si>
  <si>
    <t>10.31.200</t>
  </si>
  <si>
    <t>10.31.201</t>
  </si>
  <si>
    <t>10.31.202</t>
  </si>
  <si>
    <t>10.31.203</t>
  </si>
  <si>
    <t>10.31.204</t>
  </si>
  <si>
    <t>10.31.205</t>
  </si>
  <si>
    <t>10.31.206</t>
  </si>
  <si>
    <t>10.31.207</t>
  </si>
  <si>
    <t>10.31.208</t>
  </si>
  <si>
    <t>10.31.209</t>
  </si>
  <si>
    <t>10.31.210</t>
  </si>
  <si>
    <t>10.31.211</t>
  </si>
  <si>
    <t>Main Switch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</si>
  <si>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</si>
  <si>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</si>
  <si>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</si>
  <si>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</si>
  <si>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</si>
  <si>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</si>
  <si>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</si>
  <si>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</si>
  <si>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LEGEND</t>
  </si>
  <si>
    <t>Power Target</t>
  </si>
  <si>
    <t>Stock Power</t>
  </si>
  <si>
    <t>10.21.255.186</t>
  </si>
  <si>
    <t>10.29.11.0</t>
  </si>
  <si>
    <t>10.29.12.0</t>
  </si>
  <si>
    <t>10.29.13.0</t>
  </si>
  <si>
    <t>10.29.14.0</t>
  </si>
  <si>
    <t>10.29.15.0</t>
  </si>
  <si>
    <t>10.29.16.0</t>
  </si>
  <si>
    <t>10.29.17.0</t>
  </si>
  <si>
    <t>10.29.18.0</t>
  </si>
  <si>
    <t>10.21.227.0</t>
  </si>
  <si>
    <t>10.21.255.0</t>
  </si>
  <si>
    <t>10.21.221.0</t>
  </si>
  <si>
    <t>---|</t>
  </si>
  <si>
    <t>10.21.222.0</t>
  </si>
  <si>
    <t>10.21.255.1</t>
  </si>
  <si>
    <t>10.21.11.0</t>
  </si>
  <si>
    <t>10.21.12.0</t>
  </si>
  <si>
    <t>Phase 0</t>
  </si>
  <si>
    <t>Pickaxe 2</t>
  </si>
  <si>
    <t>10.21.255.2</t>
  </si>
  <si>
    <t>10.21.13.0</t>
  </si>
  <si>
    <t>10.21.14.0</t>
  </si>
  <si>
    <t>Phase 1</t>
  </si>
  <si>
    <t>10.21.255.3</t>
  </si>
  <si>
    <t>10.21.15.0</t>
  </si>
  <si>
    <t>10.21.16.0</t>
  </si>
  <si>
    <t>Phase 1+</t>
  </si>
  <si>
    <t>10.21.255.4</t>
  </si>
  <si>
    <t>10.21.17.0</t>
  </si>
  <si>
    <t>10.21.18.0</t>
  </si>
  <si>
    <t>Phase 2</t>
  </si>
  <si>
    <t>Stock</t>
  </si>
  <si>
    <t>5700W</t>
  </si>
  <si>
    <t>10.21.255.5</t>
  </si>
  <si>
    <t>10.21.51.0</t>
  </si>
  <si>
    <t>10.21.52.0</t>
  </si>
  <si>
    <t>10.21.53.0</t>
  </si>
  <si>
    <t>10.21.54.0</t>
  </si>
  <si>
    <t>10.21.55.0</t>
  </si>
  <si>
    <t>10.21.56.0</t>
  </si>
  <si>
    <t>10.21.57.0</t>
  </si>
  <si>
    <t>10.21.58.0</t>
  </si>
  <si>
    <t>Phase 3</t>
  </si>
  <si>
    <t>10.21.255.6</t>
  </si>
  <si>
    <t>10.21.61.0</t>
  </si>
  <si>
    <t>10.21.62.0</t>
  </si>
  <si>
    <t>10.21.63.0</t>
  </si>
  <si>
    <t>10.21.64.0</t>
  </si>
  <si>
    <t>10.21.65.0</t>
  </si>
  <si>
    <t>10.21.66.0</t>
  </si>
  <si>
    <t>10.21.67.0</t>
  </si>
  <si>
    <t>10.21.68.0</t>
  </si>
  <si>
    <t>Phase 4</t>
  </si>
  <si>
    <t>Pickaxe 3</t>
  </si>
  <si>
    <t>10.21.255.7</t>
  </si>
  <si>
    <t>10.21.71.0</t>
  </si>
  <si>
    <t>10.21.72.0</t>
  </si>
  <si>
    <t>10.21.73.0</t>
  </si>
  <si>
    <t>10.21.74.0</t>
  </si>
  <si>
    <t>10.21.75.0</t>
  </si>
  <si>
    <t>10.21.76.0</t>
  </si>
  <si>
    <t>10.21.77.0</t>
  </si>
  <si>
    <t>10.21.78.0</t>
  </si>
  <si>
    <t>Phase 5</t>
  </si>
  <si>
    <t>10.21.255.8</t>
  </si>
  <si>
    <t>10.21.81.0</t>
  </si>
  <si>
    <t>10.21.82.0</t>
  </si>
  <si>
    <t>10.21.83.0</t>
  </si>
  <si>
    <t>10.21.84.0</t>
  </si>
  <si>
    <t>10.21.85.0</t>
  </si>
  <si>
    <t>10.21.86.0</t>
  </si>
  <si>
    <t>10.21.87.0</t>
  </si>
  <si>
    <t>10.21.88.0</t>
  </si>
  <si>
    <t>Phase 6</t>
  </si>
  <si>
    <t>10.21.255.9</t>
  </si>
  <si>
    <t>10.21.91.0</t>
  </si>
  <si>
    <t>10.21.92.0</t>
  </si>
  <si>
    <t>10.21.93.0</t>
  </si>
  <si>
    <t>10.21.94.0</t>
  </si>
  <si>
    <t>10.21.95.0</t>
  </si>
  <si>
    <t>10.21.96.0</t>
  </si>
  <si>
    <t>10.21.97.0</t>
  </si>
  <si>
    <t>10.21.98.0</t>
  </si>
  <si>
    <t>10.21.255.10</t>
  </si>
  <si>
    <t>10.21.101.0</t>
  </si>
  <si>
    <t>10.21.102.0</t>
  </si>
  <si>
    <t>10.21.103.0</t>
  </si>
  <si>
    <t>10.21.104.0</t>
  </si>
  <si>
    <t>10.21.105.0</t>
  </si>
  <si>
    <t>10.21.106.0</t>
  </si>
  <si>
    <t>10.21.107.0</t>
  </si>
  <si>
    <t>10.21.108.0</t>
  </si>
  <si>
    <t>10.21.255.11</t>
  </si>
  <si>
    <t>10.21.111.0</t>
  </si>
  <si>
    <t>10.21.112.0</t>
  </si>
  <si>
    <t>10.21.113.0</t>
  </si>
  <si>
    <t>10.21.114.0</t>
  </si>
  <si>
    <t>10.21.115.0</t>
  </si>
  <si>
    <t>10.21.116.0</t>
  </si>
  <si>
    <t>10.21.117.0</t>
  </si>
  <si>
    <t>10.21.118.0</t>
  </si>
  <si>
    <t>10.21.255.12</t>
  </si>
  <si>
    <t>10.21.121.0</t>
  </si>
  <si>
    <t>10.21.122.0</t>
  </si>
  <si>
    <t>10.21.123.0</t>
  </si>
  <si>
    <t>10.21.124.0</t>
  </si>
  <si>
    <t>10.21.125.0</t>
  </si>
  <si>
    <t>10.21.126.0</t>
  </si>
  <si>
    <t>10.21.127.0</t>
  </si>
  <si>
    <t>10.21.128.0</t>
  </si>
  <si>
    <t>10.21.255.13</t>
  </si>
  <si>
    <t>10.21.41.0</t>
  </si>
  <si>
    <t>10.21.42.0</t>
  </si>
  <si>
    <t>10.21.255.14</t>
  </si>
  <si>
    <t>10.21.43.0</t>
  </si>
  <si>
    <t>10.21.44.0</t>
  </si>
  <si>
    <t>10.21.255.15</t>
  </si>
  <si>
    <t>10.22.21.0</t>
  </si>
  <si>
    <t>10.22.22.0</t>
  </si>
  <si>
    <t>10.22.23.0</t>
  </si>
  <si>
    <t>10.22.24.0</t>
  </si>
  <si>
    <t>10.22.25.0</t>
  </si>
  <si>
    <t>10.22.26.0</t>
  </si>
  <si>
    <t>10.22.27.0</t>
  </si>
  <si>
    <t>10.22.28.0</t>
  </si>
  <si>
    <t>10.21.255.16</t>
  </si>
  <si>
    <t>10.22.31.0</t>
  </si>
  <si>
    <t>10.22.32.0</t>
  </si>
  <si>
    <t>10.22.33.0</t>
  </si>
  <si>
    <t>10.22.34.0</t>
  </si>
  <si>
    <t>10.22.35.0</t>
  </si>
  <si>
    <t>x</t>
  </si>
  <si>
    <t>10.21.47.0</t>
  </si>
  <si>
    <t>10.21.48.0</t>
  </si>
  <si>
    <t>10.21.255.17</t>
  </si>
  <si>
    <t>10.22.41.0</t>
  </si>
  <si>
    <t>10.22.42.0</t>
  </si>
  <si>
    <t>10.22.43.0</t>
  </si>
  <si>
    <t>10.22.44.0</t>
  </si>
  <si>
    <t>10.22.45.0</t>
  </si>
  <si>
    <t>10.22.46.0</t>
  </si>
  <si>
    <t>10.22.47.0</t>
  </si>
  <si>
    <t>10.22.48.0</t>
  </si>
  <si>
    <t>4800W</t>
  </si>
  <si>
    <t>3800W</t>
  </si>
  <si>
    <t>10.21.255.18</t>
  </si>
  <si>
    <t>10.22.51.0</t>
  </si>
  <si>
    <t>10.22.52.0</t>
  </si>
  <si>
    <t>10.22.53.0</t>
  </si>
  <si>
    <t>10.22.54.0</t>
  </si>
  <si>
    <t>10.22.55.0</t>
  </si>
  <si>
    <t>10.22.56.0</t>
  </si>
  <si>
    <t>10.22.57.0</t>
  </si>
  <si>
    <t>10.22.58.0</t>
  </si>
  <si>
    <t>10.21.255.19</t>
  </si>
  <si>
    <t>10.22.61.0</t>
  </si>
  <si>
    <t>10.22.62.0</t>
  </si>
  <si>
    <t>10.22.63.0</t>
  </si>
  <si>
    <t>10.22.64.0</t>
  </si>
  <si>
    <t>10.22.65.0</t>
  </si>
  <si>
    <t>10.22.66.0</t>
  </si>
  <si>
    <t>10.22.67.0</t>
  </si>
  <si>
    <t>10.22.68.0</t>
  </si>
  <si>
    <t>10.21.255.20</t>
  </si>
  <si>
    <t>10.22.71.0</t>
  </si>
  <si>
    <t>10.22.72.0</t>
  </si>
  <si>
    <t>10.22.73.0</t>
  </si>
  <si>
    <t>10.22.74.0</t>
  </si>
  <si>
    <t>10.22.75.0</t>
  </si>
  <si>
    <t>10.22.76.0</t>
  </si>
  <si>
    <t>10.22.77.0</t>
  </si>
  <si>
    <t>10.22.78.0</t>
  </si>
  <si>
    <t>10.21.255.21</t>
  </si>
  <si>
    <t>10.22.81.0</t>
  </si>
  <si>
    <t>10.22.82.0</t>
  </si>
  <si>
    <t>10.22.83.0</t>
  </si>
  <si>
    <t>10.22.84.0</t>
  </si>
  <si>
    <t>10.22.85.0</t>
  </si>
  <si>
    <t>10.22.86.0</t>
  </si>
  <si>
    <t>10.22.87.0</t>
  </si>
  <si>
    <t>10.22.88.0</t>
  </si>
  <si>
    <t>10.21.255.22</t>
  </si>
  <si>
    <t>10.22.91.0</t>
  </si>
  <si>
    <t>10.22.92.0</t>
  </si>
  <si>
    <t>10.22.93.0</t>
  </si>
  <si>
    <t>10.22.94.0</t>
  </si>
  <si>
    <t>10.22.95.0</t>
  </si>
  <si>
    <t>10.22.96.0</t>
  </si>
  <si>
    <t>10.22.97.0</t>
  </si>
  <si>
    <t>10.22.98.0</t>
  </si>
  <si>
    <t>10.21.255.23</t>
  </si>
  <si>
    <t>10.22.101.0</t>
  </si>
  <si>
    <t>10.22.102.0</t>
  </si>
  <si>
    <t>10.22.103.0</t>
  </si>
  <si>
    <t>10.22.104.0</t>
  </si>
  <si>
    <t>10.22.105.0</t>
  </si>
  <si>
    <t>10.22.106.0</t>
  </si>
  <si>
    <t>10.22.107.0</t>
  </si>
  <si>
    <t>10.22.108.0</t>
  </si>
  <si>
    <t>10.21.255.24</t>
  </si>
  <si>
    <t>10.22.111.0</t>
  </si>
  <si>
    <t>10.22.112.0</t>
  </si>
  <si>
    <t>10.22.113.0</t>
  </si>
  <si>
    <t>10.22.114.0</t>
  </si>
  <si>
    <t>10.22.115.0</t>
  </si>
  <si>
    <t>10.22.116.0</t>
  </si>
  <si>
    <t>10.22.117.0</t>
  </si>
  <si>
    <t>10.22.118.0</t>
  </si>
  <si>
    <t>10.21.255.25</t>
  </si>
  <si>
    <t>10.22.121.0</t>
  </si>
  <si>
    <t>10.22.122.0</t>
  </si>
  <si>
    <t>10.22.123.0</t>
  </si>
  <si>
    <t>10.22.124.0</t>
  </si>
  <si>
    <t>10.22.125.0</t>
  </si>
  <si>
    <t>10.22.126.0</t>
  </si>
  <si>
    <t>10.22.127.0</t>
  </si>
  <si>
    <t>10.22.128.0</t>
  </si>
  <si>
    <t>10.21.255.26</t>
  </si>
  <si>
    <t>10.22.131.0</t>
  </si>
  <si>
    <t>10.22.132.0</t>
  </si>
  <si>
    <t>10.22.133.0</t>
  </si>
  <si>
    <t>10.22.134.0</t>
  </si>
  <si>
    <t>10.22.135.0</t>
  </si>
  <si>
    <t>10.22.136.0</t>
  </si>
  <si>
    <t>10.22.137.0</t>
  </si>
  <si>
    <t>10.22.138.0</t>
  </si>
  <si>
    <t>10.21.255.27</t>
  </si>
  <si>
    <t>10.22.141.0</t>
  </si>
  <si>
    <t>10.22.142.0</t>
  </si>
  <si>
    <t>10.22.143.0</t>
  </si>
  <si>
    <t>10.22.144.0</t>
  </si>
  <si>
    <t>10.22.145.0</t>
  </si>
  <si>
    <t>10.22.146.0</t>
  </si>
  <si>
    <t>10.22.147.0</t>
  </si>
  <si>
    <t>10.22.148.0</t>
  </si>
  <si>
    <t>10.21.255.28</t>
  </si>
  <si>
    <t>10.23.11.0</t>
  </si>
  <si>
    <t>10.23.12.0</t>
  </si>
  <si>
    <t>10.23.13.0</t>
  </si>
  <si>
    <t>10.23.14.0</t>
  </si>
  <si>
    <t>10.23.15.0</t>
  </si>
  <si>
    <t>10.23.16.0</t>
  </si>
  <si>
    <t>10.23.17.0</t>
  </si>
  <si>
    <t>10.23.18.0</t>
  </si>
  <si>
    <t>5000W</t>
  </si>
  <si>
    <t>10.21.255.29</t>
  </si>
  <si>
    <t>10.23.21.0</t>
  </si>
  <si>
    <t>10.23.22.0</t>
  </si>
  <si>
    <t>10.23.23.0</t>
  </si>
  <si>
    <t>10.23.24.0</t>
  </si>
  <si>
    <t>10.23.25.0</t>
  </si>
  <si>
    <t>10.23.26.0</t>
  </si>
  <si>
    <t>10.23.27.0</t>
  </si>
  <si>
    <t>10.23.28.0</t>
  </si>
  <si>
    <t>10.21.255.30</t>
  </si>
  <si>
    <t>10.23.31.0</t>
  </si>
  <si>
    <t>10.23.32.0</t>
  </si>
  <si>
    <t>10.23.33.0</t>
  </si>
  <si>
    <t>10.23.34.0</t>
  </si>
  <si>
    <t>10.23.35.0</t>
  </si>
  <si>
    <t>10.23.36.0</t>
  </si>
  <si>
    <t>10.23.37.0</t>
  </si>
  <si>
    <t>10.23.38.0</t>
  </si>
  <si>
    <t>10.21.255.31</t>
  </si>
  <si>
    <t>10.23.41.0</t>
  </si>
  <si>
    <t>10.23.42.0</t>
  </si>
  <si>
    <t>10.23.43.0</t>
  </si>
  <si>
    <t>10.23.44.0</t>
  </si>
  <si>
    <t>10.23.45.0</t>
  </si>
  <si>
    <t>10.23.46.0</t>
  </si>
  <si>
    <t>10.23.47.0</t>
  </si>
  <si>
    <t>10.23.48.0</t>
  </si>
  <si>
    <t>10.21.255.32</t>
  </si>
  <si>
    <t>10.23.51.0</t>
  </si>
  <si>
    <t>10.23.52.0</t>
  </si>
  <si>
    <t>10.23.53.0</t>
  </si>
  <si>
    <t>10.23.54.0</t>
  </si>
  <si>
    <t>10.23.55.0</t>
  </si>
  <si>
    <t>10.23.56.0</t>
  </si>
  <si>
    <t>10.23.57.0</t>
  </si>
  <si>
    <t>10.23.58.0</t>
  </si>
  <si>
    <t>10.21.255.33</t>
  </si>
  <si>
    <t>10.23.61.0</t>
  </si>
  <si>
    <t>10.23.62.0</t>
  </si>
  <si>
    <t>10.23.63.0</t>
  </si>
  <si>
    <t>10.23.64.0</t>
  </si>
  <si>
    <t>10.23.65.0</t>
  </si>
  <si>
    <t>10.23.66.0</t>
  </si>
  <si>
    <t>10.23.67.0</t>
  </si>
  <si>
    <t>10.23.68.0</t>
  </si>
  <si>
    <t>10.21.255.34</t>
  </si>
  <si>
    <t>10.23.71.0</t>
  </si>
  <si>
    <t>10.23.72.0</t>
  </si>
  <si>
    <t>10.23.73.0</t>
  </si>
  <si>
    <t>10.23.74.0</t>
  </si>
  <si>
    <t>10.23.75.0</t>
  </si>
  <si>
    <t>10.23.76.0</t>
  </si>
  <si>
    <t>10.23.77.0</t>
  </si>
  <si>
    <t>10.23.78.0</t>
  </si>
  <si>
    <t>10.21.255.35</t>
  </si>
  <si>
    <t>10.23.81.0</t>
  </si>
  <si>
    <t>10.23.82.0</t>
  </si>
  <si>
    <t>10.23.83.0</t>
  </si>
  <si>
    <t>10.23.84.0</t>
  </si>
  <si>
    <t>10.23.85.0</t>
  </si>
  <si>
    <t>10.23.86.0</t>
  </si>
  <si>
    <t>10.23.87.0</t>
  </si>
  <si>
    <t>10.23.88.0</t>
  </si>
  <si>
    <t>10.21.255.36</t>
  </si>
  <si>
    <t>10.23.91.0</t>
  </si>
  <si>
    <t>10.23.92.0</t>
  </si>
  <si>
    <t>10.23.93.0</t>
  </si>
  <si>
    <t>10.23.94.0</t>
  </si>
  <si>
    <t>10.23.95.0</t>
  </si>
  <si>
    <t>10.23.96.0</t>
  </si>
  <si>
    <t>10.23.97.0</t>
  </si>
  <si>
    <t>10.23.98.0</t>
  </si>
  <si>
    <t>10.21.255.37</t>
  </si>
  <si>
    <t>10.23.101.0</t>
  </si>
  <si>
    <t>10.23.102.0</t>
  </si>
  <si>
    <t>10.23.103.0</t>
  </si>
  <si>
    <t>10.23.104.0</t>
  </si>
  <si>
    <t>10.23.105.0</t>
  </si>
  <si>
    <t>10.23.106.0</t>
  </si>
  <si>
    <t>10.23.107.0</t>
  </si>
  <si>
    <t>10.23.108.0</t>
  </si>
  <si>
    <t>10.21.255.38</t>
  </si>
  <si>
    <t>10.23.111.0</t>
  </si>
  <si>
    <t>10.23.112.0</t>
  </si>
  <si>
    <t>10.23.113.0</t>
  </si>
  <si>
    <t>10.23.114.0</t>
  </si>
  <si>
    <t>10.23.115.0</t>
  </si>
  <si>
    <t>10.23.116.0</t>
  </si>
  <si>
    <t>10.23.117.0</t>
  </si>
  <si>
    <t>10.23.118.0</t>
  </si>
  <si>
    <t>10.21.255.39</t>
  </si>
  <si>
    <t>10.23.121.0</t>
  </si>
  <si>
    <t>10.23.122.0</t>
  </si>
  <si>
    <t>10.23.123.0</t>
  </si>
  <si>
    <t>10.23.124.0</t>
  </si>
  <si>
    <t>10.23.125.0</t>
  </si>
  <si>
    <t>10.23.126.0</t>
  </si>
  <si>
    <t>10.23.127.0</t>
  </si>
  <si>
    <t>10.23.128.0</t>
  </si>
  <si>
    <t>10.21.255.40</t>
  </si>
  <si>
    <t>10.23.131.0</t>
  </si>
  <si>
    <t>10.23.132.0</t>
  </si>
  <si>
    <t>10.23.133.0</t>
  </si>
  <si>
    <t>10.23.134.0</t>
  </si>
  <si>
    <t>10.23.135.0</t>
  </si>
  <si>
    <t>10.23.136.0</t>
  </si>
  <si>
    <t>10.23.137.0</t>
  </si>
  <si>
    <t>10.23.138.0</t>
  </si>
  <si>
    <t>10.21.255.41</t>
  </si>
  <si>
    <t>10.23.141.0</t>
  </si>
  <si>
    <t>10.23.142.0</t>
  </si>
  <si>
    <t>10.23.143.0</t>
  </si>
  <si>
    <t>10.23.144.0</t>
  </si>
  <si>
    <t>10.23.145.0</t>
  </si>
  <si>
    <t>10.23.146.0</t>
  </si>
  <si>
    <t>10.23.147.0</t>
  </si>
  <si>
    <t>10.23.148.0</t>
  </si>
  <si>
    <t>10.21.255.42</t>
  </si>
  <si>
    <t>10.24.11.0</t>
  </si>
  <si>
    <t>10.24.12.0</t>
  </si>
  <si>
    <t>10.24.13.0</t>
  </si>
  <si>
    <t>10.24.14.0</t>
  </si>
  <si>
    <t>10.24.15.0</t>
  </si>
  <si>
    <t>10.24.16.0</t>
  </si>
  <si>
    <t>10.24.17.0</t>
  </si>
  <si>
    <t>10.24.18.0</t>
  </si>
  <si>
    <t>10.21.255.43</t>
  </si>
  <si>
    <t>10.24.21.0</t>
  </si>
  <si>
    <t>10.24.22.0</t>
  </si>
  <si>
    <t>10.24.23.0</t>
  </si>
  <si>
    <t>10.24.24.0</t>
  </si>
  <si>
    <t>10.24.25.0</t>
  </si>
  <si>
    <t>10.24.26.0</t>
  </si>
  <si>
    <t>10.24.27.0</t>
  </si>
  <si>
    <t>10.24.28.0</t>
  </si>
  <si>
    <t>10.21.255.44</t>
  </si>
  <si>
    <t>10.24.31.0</t>
  </si>
  <si>
    <t>10.24.32.0</t>
  </si>
  <si>
    <t>10.24.33.0</t>
  </si>
  <si>
    <t>10.24.34.0</t>
  </si>
  <si>
    <t>10.24.35.0</t>
  </si>
  <si>
    <t>10.24.36.0</t>
  </si>
  <si>
    <t>10.24.37.0</t>
  </si>
  <si>
    <t>10.24.38.0</t>
  </si>
  <si>
    <t>10.21.255.45</t>
  </si>
  <si>
    <t>10.24.41.0</t>
  </si>
  <si>
    <t>10.24.42.0</t>
  </si>
  <si>
    <t>10.24.43.0</t>
  </si>
  <si>
    <t>10.24.44.0</t>
  </si>
  <si>
    <t>10.24.45.0</t>
  </si>
  <si>
    <t>10.24.46.0</t>
  </si>
  <si>
    <t>10.24.47.0</t>
  </si>
  <si>
    <t>10.24.48.0</t>
  </si>
  <si>
    <t>10.21.255.46</t>
  </si>
  <si>
    <t>10.24.51.0</t>
  </si>
  <si>
    <t>10.24.52.0</t>
  </si>
  <si>
    <t>10.24.53.0</t>
  </si>
  <si>
    <t>10.24.54.0</t>
  </si>
  <si>
    <t>10.24.55.0</t>
  </si>
  <si>
    <t>10.24.56.0</t>
  </si>
  <si>
    <t>10.24.57.0</t>
  </si>
  <si>
    <t>10.24.58.0</t>
  </si>
  <si>
    <t>10.21.255.47</t>
  </si>
  <si>
    <t>10.24.61.0</t>
  </si>
  <si>
    <t>10.24.62.0</t>
  </si>
  <si>
    <t>10.24.63.0</t>
  </si>
  <si>
    <t>10.24.64.0</t>
  </si>
  <si>
    <t>10.24.65.0</t>
  </si>
  <si>
    <t>10.24.66.0</t>
  </si>
  <si>
    <t>10.24.67.0</t>
  </si>
  <si>
    <t>10.24.68.0</t>
  </si>
  <si>
    <t>10.21.255.48</t>
  </si>
  <si>
    <t>10.24.71.0</t>
  </si>
  <si>
    <t>10.24.72.0</t>
  </si>
  <si>
    <t>10.24.73.0</t>
  </si>
  <si>
    <t>10.24.74.0</t>
  </si>
  <si>
    <t>10.24.75.0</t>
  </si>
  <si>
    <t>10.24.76.0</t>
  </si>
  <si>
    <t>10.24.77.0</t>
  </si>
  <si>
    <t>10.24.78.0</t>
  </si>
  <si>
    <t>10.21.255.49</t>
  </si>
  <si>
    <t>10.24.81.0</t>
  </si>
  <si>
    <t>10.24.82.0</t>
  </si>
  <si>
    <t>10.24.83.0</t>
  </si>
  <si>
    <t>10.24.84.0</t>
  </si>
  <si>
    <t>10.24.85.0</t>
  </si>
  <si>
    <t>10.24.86.0</t>
  </si>
  <si>
    <t>10.24.87.0</t>
  </si>
  <si>
    <t>10.24.88.0</t>
  </si>
  <si>
    <t>10.21.255.50</t>
  </si>
  <si>
    <t>10.24.91.0</t>
  </si>
  <si>
    <t>10.24.92.0</t>
  </si>
  <si>
    <t>10.24.93.0</t>
  </si>
  <si>
    <t>10.24.94.0</t>
  </si>
  <si>
    <t>10.24.95.0</t>
  </si>
  <si>
    <t>10.24.96.0</t>
  </si>
  <si>
    <t>10.24.97.0</t>
  </si>
  <si>
    <t>10.24.98.0</t>
  </si>
  <si>
    <t>10.21.255.51</t>
  </si>
  <si>
    <t>10.24.101.0</t>
  </si>
  <si>
    <t>10.24.102.0</t>
  </si>
  <si>
    <t>10.24.103.0</t>
  </si>
  <si>
    <t>10.24.104.0</t>
  </si>
  <si>
    <t>10.24.105.0</t>
  </si>
  <si>
    <t>10.24.106.0</t>
  </si>
  <si>
    <t>10.24.107.0</t>
  </si>
  <si>
    <t>10.24.108.0</t>
  </si>
  <si>
    <t>10.21.255.52</t>
  </si>
  <si>
    <t>10.24.111.0</t>
  </si>
  <si>
    <t>10.24.112.0</t>
  </si>
  <si>
    <t>10.24.113.0</t>
  </si>
  <si>
    <t>10.24.114.0</t>
  </si>
  <si>
    <t>10.24.115.0</t>
  </si>
  <si>
    <t>10.24.116.0</t>
  </si>
  <si>
    <t>10.24.117.0</t>
  </si>
  <si>
    <t>10.24.118.0</t>
  </si>
  <si>
    <t>10.21.255.53</t>
  </si>
  <si>
    <t>10.24.121.0</t>
  </si>
  <si>
    <t>10.24.122.0</t>
  </si>
  <si>
    <t>10.24.123.0</t>
  </si>
  <si>
    <t>10.24.124.0</t>
  </si>
  <si>
    <t>10.24.125.0</t>
  </si>
  <si>
    <t>10.24.126.0</t>
  </si>
  <si>
    <t>10.24.127.0</t>
  </si>
  <si>
    <t>10.24.128.0</t>
  </si>
  <si>
    <t>10.21.255.54</t>
  </si>
  <si>
    <t>10.24.131.0</t>
  </si>
  <si>
    <t>10.24.132.0</t>
  </si>
  <si>
    <t>10.24.133.0</t>
  </si>
  <si>
    <t>10.24.134.0</t>
  </si>
  <si>
    <t>10.24.135.0</t>
  </si>
  <si>
    <t>10.24.136.0</t>
  </si>
  <si>
    <t>10.24.137.0</t>
  </si>
  <si>
    <t>10.24.138.0</t>
  </si>
  <si>
    <t>10.21.255.55</t>
  </si>
  <si>
    <t>10.24.141.0</t>
  </si>
  <si>
    <t>10.24.142.0</t>
  </si>
  <si>
    <t>10.24.143.0</t>
  </si>
  <si>
    <t>10.24.144.0</t>
  </si>
  <si>
    <t>10.24.145.0</t>
  </si>
  <si>
    <t>10.24.146.0</t>
  </si>
  <si>
    <t>10.24.147.0</t>
  </si>
  <si>
    <t>10.24.148.0</t>
  </si>
  <si>
    <t>10.21.255.56</t>
  </si>
  <si>
    <t>10.21.141.0</t>
  </si>
  <si>
    <t>10.21.142.0</t>
  </si>
  <si>
    <t>10.21.143.0</t>
  </si>
  <si>
    <t>10.21.144.0</t>
  </si>
  <si>
    <t>10.21.145.0</t>
  </si>
  <si>
    <t>10.21.146.0</t>
  </si>
  <si>
    <t>10.21.147.0</t>
  </si>
  <si>
    <t>10.21.148.0</t>
  </si>
  <si>
    <t>10.21.255.57</t>
  </si>
  <si>
    <t>10.21.151.0</t>
  </si>
  <si>
    <t>10.21.152.0</t>
  </si>
  <si>
    <t>10.21.153.0</t>
  </si>
  <si>
    <t>10.21.154.0</t>
  </si>
  <si>
    <t>10.21.155.0</t>
  </si>
  <si>
    <t>10.21.156.0</t>
  </si>
  <si>
    <t>10.21.157.0</t>
  </si>
  <si>
    <t>10.21.158.0</t>
  </si>
  <si>
    <t>10.21.255.58</t>
  </si>
  <si>
    <t>10.21.161.0</t>
  </si>
  <si>
    <t>10.21.162.0</t>
  </si>
  <si>
    <t>10.21.163.0</t>
  </si>
  <si>
    <t>10.21.164.0</t>
  </si>
  <si>
    <t>10.21.165.0</t>
  </si>
  <si>
    <t>10.21.166.0</t>
  </si>
  <si>
    <t>10.21.167.0</t>
  </si>
  <si>
    <t>10.21.168.0</t>
  </si>
  <si>
    <t>10.21.255.59</t>
  </si>
  <si>
    <t>10.21.171.0</t>
  </si>
  <si>
    <t>10.21.172.0</t>
  </si>
  <si>
    <t>10.21.173.0</t>
  </si>
  <si>
    <t>10.21.174.0</t>
  </si>
  <si>
    <t>10.21.175.0</t>
  </si>
  <si>
    <t>10.21.176.0</t>
  </si>
  <si>
    <t>10.21.177.0</t>
  </si>
  <si>
    <t>10.21.178.0</t>
  </si>
  <si>
    <t>10.21.255.60</t>
  </si>
  <si>
    <t>10.22.151.0</t>
  </si>
  <si>
    <t>10.22.152.0</t>
  </si>
  <si>
    <t>10.22.153.0</t>
  </si>
  <si>
    <t>10.22.154.0</t>
  </si>
  <si>
    <t>10.22.155.0</t>
  </si>
  <si>
    <t>10.22.156.0</t>
  </si>
  <si>
    <t>10.22.157.0</t>
  </si>
  <si>
    <t>10.22.158.0</t>
  </si>
  <si>
    <t>10.21.255.61</t>
  </si>
  <si>
    <t>10.22.161.0</t>
  </si>
  <si>
    <t>10.22.162.0</t>
  </si>
  <si>
    <t>10.22.163.0</t>
  </si>
  <si>
    <t>10.22.164.0</t>
  </si>
  <si>
    <t>10.22.165.0</t>
  </si>
  <si>
    <t>10.22.166.0</t>
  </si>
  <si>
    <t>10.22.167.0</t>
  </si>
  <si>
    <t>10.22.168.0</t>
  </si>
  <si>
    <t>10.21.255.62</t>
  </si>
  <si>
    <t>10.22.171.0</t>
  </si>
  <si>
    <t>10.22.172.0</t>
  </si>
  <si>
    <t>10.22.173.0</t>
  </si>
  <si>
    <t>10.22.174.0</t>
  </si>
  <si>
    <t>10.22.175.0</t>
  </si>
  <si>
    <t>10.22.176.0</t>
  </si>
  <si>
    <t>10.22.177.0</t>
  </si>
  <si>
    <t>10.22.178.0</t>
  </si>
  <si>
    <t>10.21.255.63</t>
  </si>
  <si>
    <t>10.22.181.0</t>
  </si>
  <si>
    <t>10.22.182.0</t>
  </si>
  <si>
    <t>10.22.183.0</t>
  </si>
  <si>
    <t>10.22.184.0</t>
  </si>
  <si>
    <t>10.22.185.0</t>
  </si>
  <si>
    <t>10.22.186.0</t>
  </si>
  <si>
    <t>10.22.187.0</t>
  </si>
  <si>
    <t>10.22.188.0</t>
  </si>
  <si>
    <t>10.21.255.64</t>
  </si>
  <si>
    <t>10.23.151.0</t>
  </si>
  <si>
    <t>10.23.152.0</t>
  </si>
  <si>
    <t>10.23.153.0</t>
  </si>
  <si>
    <t>10.23.154.0</t>
  </si>
  <si>
    <t>10.23.155.0</t>
  </si>
  <si>
    <t>10.23.156.0</t>
  </si>
  <si>
    <t>10.23.157.0</t>
  </si>
  <si>
    <t>10.23.158.0</t>
  </si>
  <si>
    <t>10.21.255.65</t>
  </si>
  <si>
    <t>10.23.161.0</t>
  </si>
  <si>
    <t>10.23.162.0</t>
  </si>
  <si>
    <t>10.23.163.0</t>
  </si>
  <si>
    <t>10.23.164.0</t>
  </si>
  <si>
    <t>10.23.165.0</t>
  </si>
  <si>
    <t>10.23.166.0</t>
  </si>
  <si>
    <t>10.23.167.0</t>
  </si>
  <si>
    <t>10.23.168.0</t>
  </si>
  <si>
    <t>10.21.255.66</t>
  </si>
  <si>
    <t>10.23.171.0</t>
  </si>
  <si>
    <t>10.23.172.0</t>
  </si>
  <si>
    <t>10.23.173.0</t>
  </si>
  <si>
    <t>10.23.174.0</t>
  </si>
  <si>
    <t>10.23.175.0</t>
  </si>
  <si>
    <t>10.23.176.0</t>
  </si>
  <si>
    <t>10.23.177.0</t>
  </si>
  <si>
    <t>10.23.178.0</t>
  </si>
  <si>
    <t>10.21.255.67</t>
  </si>
  <si>
    <t>10.23.181.0</t>
  </si>
  <si>
    <t>10.23.182.0</t>
  </si>
  <si>
    <t>10.23.183.0</t>
  </si>
  <si>
    <t>10.23.184.0</t>
  </si>
  <si>
    <t>10.23.185.0</t>
  </si>
  <si>
    <t>10.23.186.0</t>
  </si>
  <si>
    <t>10.23.187.0</t>
  </si>
  <si>
    <t>10.23.188.0</t>
  </si>
  <si>
    <t>10.21.255.68</t>
  </si>
  <si>
    <t>10.24.151.0</t>
  </si>
  <si>
    <t>10.24.152.0</t>
  </si>
  <si>
    <t>10.24.153.0</t>
  </si>
  <si>
    <t>10.24.154.0</t>
  </si>
  <si>
    <t>10.24.155.0</t>
  </si>
  <si>
    <t>10.24.156.0</t>
  </si>
  <si>
    <t>10.24.157.0</t>
  </si>
  <si>
    <t>10.24.158.0</t>
  </si>
  <si>
    <t>10.21.255.69</t>
  </si>
  <si>
    <t>10.24.161.0</t>
  </si>
  <si>
    <t>10.24.162.0</t>
  </si>
  <si>
    <t>10.24.163.0</t>
  </si>
  <si>
    <t>10.24.164.0</t>
  </si>
  <si>
    <t>10.24.165.0</t>
  </si>
  <si>
    <t>10.24.166.0</t>
  </si>
  <si>
    <t>10.24.167.0</t>
  </si>
  <si>
    <t>10.24.168.0</t>
  </si>
  <si>
    <t>10.21.255.70</t>
  </si>
  <si>
    <t>10.24.171.0</t>
  </si>
  <si>
    <t>10.24.172.0</t>
  </si>
  <si>
    <t>10.24.173.0</t>
  </si>
  <si>
    <t>10.24.174.0</t>
  </si>
  <si>
    <t>10.24.175.0</t>
  </si>
  <si>
    <t>10.24.176.0</t>
  </si>
  <si>
    <t>10.24.177.0</t>
  </si>
  <si>
    <t>10.24.178.0</t>
  </si>
  <si>
    <t>10.21.255.71</t>
  </si>
  <si>
    <t>10.24.181.0</t>
  </si>
  <si>
    <t>10.24.182.0</t>
  </si>
  <si>
    <t>10.24.183.0</t>
  </si>
  <si>
    <t>10.24.184.0</t>
  </si>
  <si>
    <t>10.24.185.0</t>
  </si>
  <si>
    <t>10.24.186.0</t>
  </si>
  <si>
    <t>10.24.187.0</t>
  </si>
  <si>
    <t>10.24.188.0</t>
  </si>
  <si>
    <t>10.21.255.72</t>
  </si>
  <si>
    <t>10.21.181.0</t>
  </si>
  <si>
    <t>10.21.182.0</t>
  </si>
  <si>
    <t>10.21.183.0</t>
  </si>
  <si>
    <t>10.21.184.0</t>
  </si>
  <si>
    <t>10.21.185.0</t>
  </si>
  <si>
    <t>10.21.186.0</t>
  </si>
  <si>
    <t>10.21.187.0</t>
  </si>
  <si>
    <t>10.21.188.0</t>
  </si>
  <si>
    <t>4200W</t>
  </si>
  <si>
    <t>10.21.255.73</t>
  </si>
  <si>
    <t>10.21.191.0</t>
  </si>
  <si>
    <t>10.21.192.0</t>
  </si>
  <si>
    <t>10.21.193.0</t>
  </si>
  <si>
    <t>10.21.194.0</t>
  </si>
  <si>
    <t>10.21.195.0</t>
  </si>
  <si>
    <t>10.21.196.0</t>
  </si>
  <si>
    <t>10.21.197.0</t>
  </si>
  <si>
    <t>10.21.198.0</t>
  </si>
  <si>
    <t>10.21.255.74</t>
  </si>
  <si>
    <t>10.21.201.0</t>
  </si>
  <si>
    <t>10.21.202.0</t>
  </si>
  <si>
    <t>10.21.203.0</t>
  </si>
  <si>
    <t>10.21.204.0</t>
  </si>
  <si>
    <t>10.21.205.0</t>
  </si>
  <si>
    <t>10.21.206.0</t>
  </si>
  <si>
    <t>10.21.207.0</t>
  </si>
  <si>
    <t>10.21.208.0</t>
  </si>
  <si>
    <t>10.21.255.75</t>
  </si>
  <si>
    <t>10.21.211.0</t>
  </si>
  <si>
    <t>10.21.212.0</t>
  </si>
  <si>
    <t>10.21.213.0</t>
  </si>
  <si>
    <t>10.21.214.0</t>
  </si>
  <si>
    <t>10.21.215.0</t>
  </si>
  <si>
    <t>10.21.216.0</t>
  </si>
  <si>
    <t>10.21.217.0</t>
  </si>
  <si>
    <t>10.21.218.0</t>
  </si>
  <si>
    <t>10.21.255.76</t>
  </si>
  <si>
    <t>10.22.191.0</t>
  </si>
  <si>
    <t>10.22.192.0</t>
  </si>
  <si>
    <t>10.22.193.0</t>
  </si>
  <si>
    <t>10.22.194.0</t>
  </si>
  <si>
    <t>10.22.195.0</t>
  </si>
  <si>
    <t>10.22.196.0</t>
  </si>
  <si>
    <t>10.22.197.0</t>
  </si>
  <si>
    <t>10.22.198.0</t>
  </si>
  <si>
    <t>10.21.255.77</t>
  </si>
  <si>
    <t>10.22.201.0</t>
  </si>
  <si>
    <t>10.22.202.0</t>
  </si>
  <si>
    <t>10.22.203.0</t>
  </si>
  <si>
    <t>10.22.204.0</t>
  </si>
  <si>
    <t>10.22.205.0</t>
  </si>
  <si>
    <t>10.22.206.0</t>
  </si>
  <si>
    <t>10.22.207.0</t>
  </si>
  <si>
    <t>10.22.208.0</t>
  </si>
  <si>
    <t>10.21.255.78</t>
  </si>
  <si>
    <t>10.22.211.0</t>
  </si>
  <si>
    <t>10.22.212.0</t>
  </si>
  <si>
    <t>10.22.213.0</t>
  </si>
  <si>
    <t>10.22.214.0</t>
  </si>
  <si>
    <t>10.22.215.0</t>
  </si>
  <si>
    <t>10.22.216.0</t>
  </si>
  <si>
    <t>10.22.217.0</t>
  </si>
  <si>
    <t>10.22.218.0</t>
  </si>
  <si>
    <t>10.21.255.79</t>
  </si>
  <si>
    <t>10.22.221.0</t>
  </si>
  <si>
    <t>10.22.222.0</t>
  </si>
  <si>
    <t>10.22.223.0</t>
  </si>
  <si>
    <t>10.22.224.0</t>
  </si>
  <si>
    <t>10.22.225.0</t>
  </si>
  <si>
    <t>10.22.226.0</t>
  </si>
  <si>
    <t>10.22.227.0</t>
  </si>
  <si>
    <t>10.22.228.0</t>
  </si>
  <si>
    <t>10.21.255.80</t>
  </si>
  <si>
    <t>10.22.231.0</t>
  </si>
  <si>
    <t>10.22.232.0</t>
  </si>
  <si>
    <t>10.22.233.0</t>
  </si>
  <si>
    <t>10.22.234.0</t>
  </si>
  <si>
    <t>10.22.235.0</t>
  </si>
  <si>
    <t>10.22.236.0</t>
  </si>
  <si>
    <t>10.22.237.0</t>
  </si>
  <si>
    <t>10.22.238.0</t>
  </si>
  <si>
    <t>10.21.255.81</t>
  </si>
  <si>
    <t>10.22.241.0</t>
  </si>
  <si>
    <t>10.22.242.0</t>
  </si>
  <si>
    <t>10.22.243.0</t>
  </si>
  <si>
    <t>10.22.244.0</t>
  </si>
  <si>
    <t>10.22.245.0</t>
  </si>
  <si>
    <t>10.22.246.0</t>
  </si>
  <si>
    <t>10.22.247.0</t>
  </si>
  <si>
    <t>10.22.248.0</t>
  </si>
  <si>
    <t>10.21.255.82</t>
  </si>
  <si>
    <t>10.23.191.0</t>
  </si>
  <si>
    <t>10.23.192.0</t>
  </si>
  <si>
    <t>10.23.193.0</t>
  </si>
  <si>
    <t>10.23.194.0</t>
  </si>
  <si>
    <t>10.23.195.0</t>
  </si>
  <si>
    <t>10.23.196.0</t>
  </si>
  <si>
    <t>10.23.197.0</t>
  </si>
  <si>
    <t>10.23.198.0</t>
  </si>
  <si>
    <t>10.21.255.83</t>
  </si>
  <si>
    <t>10.23.201.0</t>
  </si>
  <si>
    <t>10.23.202.0</t>
  </si>
  <si>
    <t>10.23.203.0</t>
  </si>
  <si>
    <t>10.23.204.0</t>
  </si>
  <si>
    <t>10.23.205.0</t>
  </si>
  <si>
    <t>10.23.206.0</t>
  </si>
  <si>
    <t>10.23.207.0</t>
  </si>
  <si>
    <t>10.23.208.0</t>
  </si>
  <si>
    <t>10.21.255.84</t>
  </si>
  <si>
    <t>10.23.211.0</t>
  </si>
  <si>
    <t>10.23.212.0</t>
  </si>
  <si>
    <t>10.23.213.0</t>
  </si>
  <si>
    <t>10.23.214.0</t>
  </si>
  <si>
    <t>10.23.215.0</t>
  </si>
  <si>
    <t>10.23.216.0</t>
  </si>
  <si>
    <t>10.23.217.0</t>
  </si>
  <si>
    <t>10.23.218.0</t>
  </si>
  <si>
    <t>10.21.255.85</t>
  </si>
  <si>
    <t>10.23.221.0</t>
  </si>
  <si>
    <t>10.23.222.0</t>
  </si>
  <si>
    <t>10.23.223.0</t>
  </si>
  <si>
    <t>10.23.224.0</t>
  </si>
  <si>
    <t>10.23.225.0</t>
  </si>
  <si>
    <t>10.23.226.0</t>
  </si>
  <si>
    <t>10.23.227.0</t>
  </si>
  <si>
    <t>10.23.228.0</t>
  </si>
  <si>
    <t>10.21.255.86</t>
  </si>
  <si>
    <t>10.23.231.0</t>
  </si>
  <si>
    <t>10.23.232.0</t>
  </si>
  <si>
    <t>10.23.233.0</t>
  </si>
  <si>
    <t>10.23.234.0</t>
  </si>
  <si>
    <t>10.23.235.0</t>
  </si>
  <si>
    <t>10.23.236.0</t>
  </si>
  <si>
    <t>10.23.237.0</t>
  </si>
  <si>
    <t>10.23.238.0</t>
  </si>
  <si>
    <t>10.21.255.87</t>
  </si>
  <si>
    <t>10.23.241.0</t>
  </si>
  <si>
    <t>10.23.242.0</t>
  </si>
  <si>
    <t>10.23.243.0</t>
  </si>
  <si>
    <t>10.23.244.0</t>
  </si>
  <si>
    <t>10.23.245.0</t>
  </si>
  <si>
    <t>10.23.246.0</t>
  </si>
  <si>
    <t>10.23.247.0</t>
  </si>
  <si>
    <t>10.23.248.0</t>
  </si>
  <si>
    <t>10.21.255.88</t>
  </si>
  <si>
    <t>10.24.231.0</t>
  </si>
  <si>
    <t>10.24.232.0</t>
  </si>
  <si>
    <t>10.24.233.0</t>
  </si>
  <si>
    <t>10.24.234.0</t>
  </si>
  <si>
    <t>10.24.235.0</t>
  </si>
  <si>
    <t>10.24.236.0</t>
  </si>
  <si>
    <t>10.24.237.0</t>
  </si>
  <si>
    <t>10.24.238.0</t>
  </si>
  <si>
    <t>10.21.255.89</t>
  </si>
  <si>
    <t>10.24.241.0</t>
  </si>
  <si>
    <t>10.24.242.0</t>
  </si>
  <si>
    <t>10.24.243.0</t>
  </si>
  <si>
    <t>10.24.244.0</t>
  </si>
  <si>
    <t>10.24.245.0</t>
  </si>
  <si>
    <t>10.24.246.0</t>
  </si>
  <si>
    <t>10.24.247.0</t>
  </si>
  <si>
    <t>10.24.248.0</t>
  </si>
  <si>
    <t>10.21.255.90</t>
  </si>
  <si>
    <t>10.25.11.0</t>
  </si>
  <si>
    <t>10.25.12.0</t>
  </si>
  <si>
    <t>10.25.13.0</t>
  </si>
  <si>
    <t>10.25.14.0</t>
  </si>
  <si>
    <t>10.25.15.0</t>
  </si>
  <si>
    <t>10.25.16.0</t>
  </si>
  <si>
    <t>10.25.17.0</t>
  </si>
  <si>
    <t>10.25.18.0</t>
  </si>
  <si>
    <t>10.21.255.91</t>
  </si>
  <si>
    <t>10.25.21.0</t>
  </si>
  <si>
    <t>10.25.22.0</t>
  </si>
  <si>
    <t>10.25.23.0</t>
  </si>
  <si>
    <t>10.25.24.0</t>
  </si>
  <si>
    <t>10.25.25.0</t>
  </si>
  <si>
    <t>10.25.26.0</t>
  </si>
  <si>
    <t>10.25.27.0</t>
  </si>
  <si>
    <t>10.25.28.0</t>
  </si>
  <si>
    <t>10.21.255.92</t>
  </si>
  <si>
    <t>10.25.31.0</t>
  </si>
  <si>
    <t>10.25.32.0</t>
  </si>
  <si>
    <t>10.25.33.0</t>
  </si>
  <si>
    <t>10.25.34.0</t>
  </si>
  <si>
    <t>10.25.35.0</t>
  </si>
  <si>
    <t>10.25.36.0</t>
  </si>
  <si>
    <t>10.25.37.0</t>
  </si>
  <si>
    <t>10.25.38.0</t>
  </si>
  <si>
    <t>10.21.255.93</t>
  </si>
  <si>
    <t>10.25.41.0</t>
  </si>
  <si>
    <t>10.25.42.0</t>
  </si>
  <si>
    <t>10.25.43.0</t>
  </si>
  <si>
    <t>10.25.44.0</t>
  </si>
  <si>
    <t>10.25.45.0</t>
  </si>
  <si>
    <t>10.25.46.0</t>
  </si>
  <si>
    <t>10.25.47.0</t>
  </si>
  <si>
    <t>10.25.48.0</t>
  </si>
  <si>
    <t>10.21.255.94</t>
  </si>
  <si>
    <t>10.25.51.0</t>
  </si>
  <si>
    <t>10.25.52.0</t>
  </si>
  <si>
    <t>10.25.53.0</t>
  </si>
  <si>
    <t>10.25.54.0</t>
  </si>
  <si>
    <t>10.25.55.0</t>
  </si>
  <si>
    <t>10.25.56.0</t>
  </si>
  <si>
    <t>10.25.57.0</t>
  </si>
  <si>
    <t>10.25.58.0</t>
  </si>
  <si>
    <t>10.21.255.95</t>
  </si>
  <si>
    <t>10.25.61.0</t>
  </si>
  <si>
    <t>10.25.62.0</t>
  </si>
  <si>
    <t>10.25.63.0</t>
  </si>
  <si>
    <t>10.25.64.0</t>
  </si>
  <si>
    <t>10.25.65.0</t>
  </si>
  <si>
    <t>10.25.66.0</t>
  </si>
  <si>
    <t>10.25.67.0</t>
  </si>
  <si>
    <t>10.25.68.0</t>
  </si>
  <si>
    <t>10.21.255.96</t>
  </si>
  <si>
    <t>10.25.71.0</t>
  </si>
  <si>
    <t>10.25.72.0</t>
  </si>
  <si>
    <t>10.25.73.0</t>
  </si>
  <si>
    <t>10.25.74.0</t>
  </si>
  <si>
    <t>10.25.75.0</t>
  </si>
  <si>
    <t>10.25.76.0</t>
  </si>
  <si>
    <t>10.25.77.0</t>
  </si>
  <si>
    <t>10.25.78.0</t>
  </si>
  <si>
    <t>10.21.255.97</t>
  </si>
  <si>
    <t>10.25.81.0</t>
  </si>
  <si>
    <t>10.25.82.0</t>
  </si>
  <si>
    <t>10.25.83.0</t>
  </si>
  <si>
    <t>10.25.84.0</t>
  </si>
  <si>
    <t>10.25.85.0</t>
  </si>
  <si>
    <t>10.25.86.0</t>
  </si>
  <si>
    <t>10.25.87.0</t>
  </si>
  <si>
    <t>10.25.88.0</t>
  </si>
  <si>
    <t>10.21.255.98</t>
  </si>
  <si>
    <t>10.25.91.0</t>
  </si>
  <si>
    <t>10.25.92.0</t>
  </si>
  <si>
    <t>10.25.93.0</t>
  </si>
  <si>
    <t>10.25.94.0</t>
  </si>
  <si>
    <t>10.25.95.0</t>
  </si>
  <si>
    <t>10.25.96.0</t>
  </si>
  <si>
    <t>10.25.97.0</t>
  </si>
  <si>
    <t>10.25.98.0</t>
  </si>
  <si>
    <t>10.21.255.99</t>
  </si>
  <si>
    <t>10.25.101.0</t>
  </si>
  <si>
    <t>10.25.102.0</t>
  </si>
  <si>
    <t>10.25.103.0</t>
  </si>
  <si>
    <t>10.25.104.0</t>
  </si>
  <si>
    <t>10.25.105.0</t>
  </si>
  <si>
    <t>10.25.106.0</t>
  </si>
  <si>
    <t>10.25.107.0</t>
  </si>
  <si>
    <t>10.25.108.0</t>
  </si>
  <si>
    <t>10.21.255.100</t>
  </si>
  <si>
    <t>10.25.111.0</t>
  </si>
  <si>
    <t>10.25.112.0</t>
  </si>
  <si>
    <t>10.25.113.0</t>
  </si>
  <si>
    <t>10.25.114.0</t>
  </si>
  <si>
    <t>10.25.115.0</t>
  </si>
  <si>
    <t>10.25.116.0</t>
  </si>
  <si>
    <t>10.25.117.0</t>
  </si>
  <si>
    <t>10.25.118.0</t>
  </si>
  <si>
    <t>10.21.255.101</t>
  </si>
  <si>
    <t>10.25.121.0</t>
  </si>
  <si>
    <t>10.25.122.0</t>
  </si>
  <si>
    <t>10.25.123.0</t>
  </si>
  <si>
    <t>10.25.124.0</t>
  </si>
  <si>
    <t>10.25.125.0</t>
  </si>
  <si>
    <t>10.25.126.0</t>
  </si>
  <si>
    <t>10.25.127.0</t>
  </si>
  <si>
    <t>10.25.128.0</t>
  </si>
  <si>
    <t>10.21.255.102</t>
  </si>
  <si>
    <t>10.25.131.0</t>
  </si>
  <si>
    <t>10.25.132.0</t>
  </si>
  <si>
    <t>10.25.133.0</t>
  </si>
  <si>
    <t>10.25.134.0</t>
  </si>
  <si>
    <t>10.25.135.0</t>
  </si>
  <si>
    <t>10.25.136.0</t>
  </si>
  <si>
    <t>10.25.137.0</t>
  </si>
  <si>
    <t>10.25.138.0</t>
  </si>
  <si>
    <t>10.21.255.103</t>
  </si>
  <si>
    <t>10.25.141.0</t>
  </si>
  <si>
    <t>10.25.142.0</t>
  </si>
  <si>
    <t>10.25.143.0</t>
  </si>
  <si>
    <t>10.25.144.0</t>
  </si>
  <si>
    <t>10.25.145.0</t>
  </si>
  <si>
    <t>10.25.146.0</t>
  </si>
  <si>
    <t>10.25.147.0</t>
  </si>
  <si>
    <t>10.25.148.0</t>
  </si>
  <si>
    <t>10.21.255.104</t>
  </si>
  <si>
    <t>10.25.151.0</t>
  </si>
  <si>
    <t>10.25.152.0</t>
  </si>
  <si>
    <t>10.25.153.0</t>
  </si>
  <si>
    <t>10.25.154.0</t>
  </si>
  <si>
    <t>10.25.155.0</t>
  </si>
  <si>
    <t>10.25.156.0</t>
  </si>
  <si>
    <t>10.25.157.0</t>
  </si>
  <si>
    <t>10.25.158.0</t>
  </si>
  <si>
    <t>10.21.255.105</t>
  </si>
  <si>
    <t>10.25.161.0</t>
  </si>
  <si>
    <t>10.25.162.0</t>
  </si>
  <si>
    <t>10.25.163.0</t>
  </si>
  <si>
    <t>10.25.164.0</t>
  </si>
  <si>
    <t>10.25.165.0</t>
  </si>
  <si>
    <t>10.25.166.0</t>
  </si>
  <si>
    <t>10.25.167.0</t>
  </si>
  <si>
    <t>10.25.168.0</t>
  </si>
  <si>
    <t>10.21.255.106</t>
  </si>
  <si>
    <t>10.25.171.0</t>
  </si>
  <si>
    <t>10.25.172.0</t>
  </si>
  <si>
    <t>10.25.173.0</t>
  </si>
  <si>
    <t>10.25.174.0</t>
  </si>
  <si>
    <t>10.25.175.0</t>
  </si>
  <si>
    <t>10.25.176.0</t>
  </si>
  <si>
    <t>10.25.177.0</t>
  </si>
  <si>
    <t>10.25.178.0</t>
  </si>
  <si>
    <t>10.21.255.107</t>
  </si>
  <si>
    <t>10.25.181.0</t>
  </si>
  <si>
    <t>10.25.182.0</t>
  </si>
  <si>
    <t>10.25.183.0</t>
  </si>
  <si>
    <t>10.25.184.0</t>
  </si>
  <si>
    <t>10.25.185.0</t>
  </si>
  <si>
    <t>10.25.186.0</t>
  </si>
  <si>
    <t>10.25.187.0</t>
  </si>
  <si>
    <t>10.25.188.0</t>
  </si>
  <si>
    <t>10.21.255.108</t>
  </si>
  <si>
    <t>10.25.191.0</t>
  </si>
  <si>
    <t>10.25.192.0</t>
  </si>
  <si>
    <t>10.25.193.0</t>
  </si>
  <si>
    <t>10.25.194.0</t>
  </si>
  <si>
    <t>10.25.195.0</t>
  </si>
  <si>
    <t>10.25.196.0</t>
  </si>
  <si>
    <t>10.25.197.0</t>
  </si>
  <si>
    <t>10.25.198.0</t>
  </si>
  <si>
    <t>10.21.255.109</t>
  </si>
  <si>
    <t>10.25.201.0</t>
  </si>
  <si>
    <t>10.25.202.0</t>
  </si>
  <si>
    <t>10.25.203.0</t>
  </si>
  <si>
    <t>10.25.204.0</t>
  </si>
  <si>
    <t>10.25.205.0</t>
  </si>
  <si>
    <t>10.25.206.0</t>
  </si>
  <si>
    <t>10.25.207.0</t>
  </si>
  <si>
    <t>10.25.208.0</t>
  </si>
  <si>
    <t>10.21.255.110</t>
  </si>
  <si>
    <t>10.25.211.0</t>
  </si>
  <si>
    <t>10.25.212.0</t>
  </si>
  <si>
    <t>10.25.213.0</t>
  </si>
  <si>
    <t>10.25.214.0</t>
  </si>
  <si>
    <t>10.25.215.0</t>
  </si>
  <si>
    <t>10.25.216.0</t>
  </si>
  <si>
    <t>10.25.217.0</t>
  </si>
  <si>
    <t>10.25.218.0</t>
  </si>
  <si>
    <t>10.21.255.111</t>
  </si>
  <si>
    <t>10.25.221.0</t>
  </si>
  <si>
    <t>10.25.222.0</t>
  </si>
  <si>
    <t>10.25.223.0</t>
  </si>
  <si>
    <t>10.25.224.0</t>
  </si>
  <si>
    <t>10.25.225.0</t>
  </si>
  <si>
    <t>10.25.226.0</t>
  </si>
  <si>
    <t>10.25.227.0</t>
  </si>
  <si>
    <t>10.25.228.0</t>
  </si>
  <si>
    <t>10.21.255.112</t>
  </si>
  <si>
    <t>10.25.231.0</t>
  </si>
  <si>
    <t>10.25.232.0</t>
  </si>
  <si>
    <t>10.25.233.0</t>
  </si>
  <si>
    <t>10.25.234.0</t>
  </si>
  <si>
    <t>10.25.235.0</t>
  </si>
  <si>
    <t>10.25.236.0</t>
  </si>
  <si>
    <t>10.25.237.0</t>
  </si>
  <si>
    <t>10.25.238.0</t>
  </si>
  <si>
    <t>10.21.255.113</t>
  </si>
  <si>
    <t>10.25.241.0</t>
  </si>
  <si>
    <t>10.25.242.0</t>
  </si>
  <si>
    <t>10.25.243.0</t>
  </si>
  <si>
    <t>10.25.244.0</t>
  </si>
  <si>
    <t>10.25.245.0</t>
  </si>
  <si>
    <t>10.25.246.0</t>
  </si>
  <si>
    <t>10.25.247.0</t>
  </si>
  <si>
    <t>10.25.248.0</t>
  </si>
  <si>
    <t>10.21.255.114</t>
  </si>
  <si>
    <t>10.26.11.0</t>
  </si>
  <si>
    <t>10.26.12.0</t>
  </si>
  <si>
    <t>10.26.13.0</t>
  </si>
  <si>
    <t>10.26.14.0</t>
  </si>
  <si>
    <t>10.26.15.0</t>
  </si>
  <si>
    <t>10.26.16.0</t>
  </si>
  <si>
    <t>10.26.17.0</t>
  </si>
  <si>
    <t>10.26.18.0</t>
  </si>
  <si>
    <t>10.21.255.115</t>
  </si>
  <si>
    <t>10.26.21.0</t>
  </si>
  <si>
    <t>10.26.22.0</t>
  </si>
  <si>
    <t>10.26.23.0</t>
  </si>
  <si>
    <t>10.26.24.0</t>
  </si>
  <si>
    <t>10.26.25.0</t>
  </si>
  <si>
    <t>10.26.26.0</t>
  </si>
  <si>
    <t>10.26.27.0</t>
  </si>
  <si>
    <t>10.26.28.0</t>
  </si>
  <si>
    <t>10.21.255.116</t>
  </si>
  <si>
    <t>10.26.31.0</t>
  </si>
  <si>
    <t>10.26.32.0</t>
  </si>
  <si>
    <t>10.26.33.0</t>
  </si>
  <si>
    <t>10.26.34.0</t>
  </si>
  <si>
    <t>10.26.35.0</t>
  </si>
  <si>
    <t>10.26.36.0</t>
  </si>
  <si>
    <t>10.26.37.0</t>
  </si>
  <si>
    <t>10.26.38.0</t>
  </si>
  <si>
    <t>10.21.255.117</t>
  </si>
  <si>
    <t>10.26.41.0</t>
  </si>
  <si>
    <t>10.26.42.0</t>
  </si>
  <si>
    <t>10.26.43.0</t>
  </si>
  <si>
    <t>10.26.44.0</t>
  </si>
  <si>
    <t>10.26.45.0</t>
  </si>
  <si>
    <t>10.26.46.0</t>
  </si>
  <si>
    <t>10.26.47.0</t>
  </si>
  <si>
    <t>10.26.48.0</t>
  </si>
  <si>
    <t>10.21.255.118</t>
  </si>
  <si>
    <t>10.26.51.0</t>
  </si>
  <si>
    <t>10.26.52.0</t>
  </si>
  <si>
    <t>10.26.53.0</t>
  </si>
  <si>
    <t>10.26.54.0</t>
  </si>
  <si>
    <t>10.26.55.0</t>
  </si>
  <si>
    <t>10.26.56.0</t>
  </si>
  <si>
    <t>10.26.57.0</t>
  </si>
  <si>
    <t>10.26.58.0</t>
  </si>
  <si>
    <t>10.21.255.119</t>
  </si>
  <si>
    <t>10.26.61.0</t>
  </si>
  <si>
    <t>10.26.62.0</t>
  </si>
  <si>
    <t>10.26.63.0</t>
  </si>
  <si>
    <t>10.26.64.0</t>
  </si>
  <si>
    <t>10.26.65.0</t>
  </si>
  <si>
    <t>10.26.66.0</t>
  </si>
  <si>
    <t>10.26.67.0</t>
  </si>
  <si>
    <t>10.26.68.0</t>
  </si>
  <si>
    <t>10.21.255.120</t>
  </si>
  <si>
    <t>10.26.71.0</t>
  </si>
  <si>
    <t>10.26.72.0</t>
  </si>
  <si>
    <t>10.26.73.0</t>
  </si>
  <si>
    <t>10.26.74.0</t>
  </si>
  <si>
    <t>10.26.75.0</t>
  </si>
  <si>
    <t>10.26.76.0</t>
  </si>
  <si>
    <t>10.26.77.0</t>
  </si>
  <si>
    <t>10.26.78.0</t>
  </si>
  <si>
    <t>10.21.255.121</t>
  </si>
  <si>
    <t>10.26.81.0</t>
  </si>
  <si>
    <t>10.26.82.0</t>
  </si>
  <si>
    <t>10.26.83.0</t>
  </si>
  <si>
    <t>10.26.84.0</t>
  </si>
  <si>
    <t>10.26.85.0</t>
  </si>
  <si>
    <t>10.26.86.0</t>
  </si>
  <si>
    <t>10.26.87.0</t>
  </si>
  <si>
    <t>10.26.88.0</t>
  </si>
  <si>
    <t>10.21.255.122</t>
  </si>
  <si>
    <t>10.26.91.0</t>
  </si>
  <si>
    <t>10.26.92.0</t>
  </si>
  <si>
    <t>10.26.93.0</t>
  </si>
  <si>
    <t>10.26.94.0</t>
  </si>
  <si>
    <t>10.26.95.0</t>
  </si>
  <si>
    <t>10.26.96.0</t>
  </si>
  <si>
    <t>10.26.97.0</t>
  </si>
  <si>
    <t>10.26.98.0</t>
  </si>
  <si>
    <t>10.21.255.123</t>
  </si>
  <si>
    <t>10.26.101.0</t>
  </si>
  <si>
    <t>10.26.102.0</t>
  </si>
  <si>
    <t>10.26.103.0</t>
  </si>
  <si>
    <t>10.26.104.0</t>
  </si>
  <si>
    <t>10.26.105.0</t>
  </si>
  <si>
    <t>10.26.106.0</t>
  </si>
  <si>
    <t>10.26.107.0</t>
  </si>
  <si>
    <t>10.26.108.0</t>
  </si>
  <si>
    <t>10.21.255.124</t>
  </si>
  <si>
    <t>10.26.111.0</t>
  </si>
  <si>
    <t>10.26.112.0</t>
  </si>
  <si>
    <t>10.26.113.0</t>
  </si>
  <si>
    <t>10.26.114.0</t>
  </si>
  <si>
    <t>10.26.115.0</t>
  </si>
  <si>
    <t>10.26.116.0</t>
  </si>
  <si>
    <t>10.26.117.0</t>
  </si>
  <si>
    <t>10.26.118.0</t>
  </si>
  <si>
    <t>10.21.255.125</t>
  </si>
  <si>
    <t>10.26.121.0</t>
  </si>
  <si>
    <t>10.26.122.0</t>
  </si>
  <si>
    <t>10.26.123.0</t>
  </si>
  <si>
    <t>10.26.124.0</t>
  </si>
  <si>
    <t>10.26.125.0</t>
  </si>
  <si>
    <t>10.26.126.0</t>
  </si>
  <si>
    <t>10.26.127.0</t>
  </si>
  <si>
    <t>10.26.128.0</t>
  </si>
  <si>
    <t>10.21.255.126</t>
  </si>
  <si>
    <t>10.26.131.0</t>
  </si>
  <si>
    <t>10.26.132.0</t>
  </si>
  <si>
    <t>10.26.133.0</t>
  </si>
  <si>
    <t>10.26.134.0</t>
  </si>
  <si>
    <t>10.26.135.0</t>
  </si>
  <si>
    <t>10.26.136.0</t>
  </si>
  <si>
    <t>10.26.137.0</t>
  </si>
  <si>
    <t>10.26.138.0</t>
  </si>
  <si>
    <t>10.21.255.127</t>
  </si>
  <si>
    <t>10.26.141.0</t>
  </si>
  <si>
    <t>10.26.142.0</t>
  </si>
  <si>
    <t>10.26.143.0</t>
  </si>
  <si>
    <t>10.26.144.0</t>
  </si>
  <si>
    <t>10.26.145.0</t>
  </si>
  <si>
    <t>10.26.146.0</t>
  </si>
  <si>
    <t>10.26.147.0</t>
  </si>
  <si>
    <t>10.26.148.0</t>
  </si>
  <si>
    <t>10.21.255.128</t>
  </si>
  <si>
    <t>10.26.151.0</t>
  </si>
  <si>
    <t>10.26.152.0</t>
  </si>
  <si>
    <t>10.26.153.0</t>
  </si>
  <si>
    <t>10.26.154.0</t>
  </si>
  <si>
    <t>10.26.155.0</t>
  </si>
  <si>
    <t>10.26.156.0</t>
  </si>
  <si>
    <t>10.26.157.0</t>
  </si>
  <si>
    <t>10.26.158.0</t>
  </si>
  <si>
    <t>4400W</t>
  </si>
  <si>
    <t>LEAVE ON STOCK POWER UNTIL XF REPAIR</t>
  </si>
  <si>
    <t>10.21.255.129</t>
  </si>
  <si>
    <t>10.26.161.0</t>
  </si>
  <si>
    <t>10.26.162.0</t>
  </si>
  <si>
    <t>10.26.163.0</t>
  </si>
  <si>
    <t>10.26.164.0</t>
  </si>
  <si>
    <t>10.26.165.0</t>
  </si>
  <si>
    <t>10.26.166.0</t>
  </si>
  <si>
    <t>10.26.167.0</t>
  </si>
  <si>
    <t>10.26.168.0</t>
  </si>
  <si>
    <t>10.21.255.130</t>
  </si>
  <si>
    <t>10.26.171.0</t>
  </si>
  <si>
    <t>10.26.172.0</t>
  </si>
  <si>
    <t>10.26.173.0</t>
  </si>
  <si>
    <t>10.26.174.0</t>
  </si>
  <si>
    <t>10.26.175.0</t>
  </si>
  <si>
    <t>10.26.176.0</t>
  </si>
  <si>
    <t>10.26.177.0</t>
  </si>
  <si>
    <t>10.26.178.0</t>
  </si>
  <si>
    <t>10.21.255.131</t>
  </si>
  <si>
    <t>10.26.181.0</t>
  </si>
  <si>
    <t>10.26.182.0</t>
  </si>
  <si>
    <t>10.26.183.0</t>
  </si>
  <si>
    <t>10.26.184.0</t>
  </si>
  <si>
    <t>10.26.185.0</t>
  </si>
  <si>
    <t>10.26.186.0</t>
  </si>
  <si>
    <t>10.26.187.0</t>
  </si>
  <si>
    <t>10.26.188.0</t>
  </si>
  <si>
    <t>10.21.255.132</t>
  </si>
  <si>
    <t>10.26.191.0</t>
  </si>
  <si>
    <t>10.26.192.0</t>
  </si>
  <si>
    <t>10.26.193.0</t>
  </si>
  <si>
    <t>10.26.194.0</t>
  </si>
  <si>
    <t>10.26.195.0</t>
  </si>
  <si>
    <t>10.26.196.0</t>
  </si>
  <si>
    <t>10.26.197.0</t>
  </si>
  <si>
    <t>10.26.198.0</t>
  </si>
  <si>
    <t>10.21.255.133</t>
  </si>
  <si>
    <t>10.26.201.0</t>
  </si>
  <si>
    <t>10.26.202.0</t>
  </si>
  <si>
    <t>10.26.203.0</t>
  </si>
  <si>
    <t>10.26.204.0</t>
  </si>
  <si>
    <t>10.26.205.0</t>
  </si>
  <si>
    <t>10.26.206.0</t>
  </si>
  <si>
    <t>10.26.207.0</t>
  </si>
  <si>
    <t>10.26.208.0</t>
  </si>
  <si>
    <t>10.21.255.134</t>
  </si>
  <si>
    <t>10.26.211.0</t>
  </si>
  <si>
    <t>10.26.212.0</t>
  </si>
  <si>
    <t>10.26.213.0</t>
  </si>
  <si>
    <t>10.26.214.0</t>
  </si>
  <si>
    <t>10.26.215.0</t>
  </si>
  <si>
    <t>10.26.216.0</t>
  </si>
  <si>
    <t>10.26.217.0</t>
  </si>
  <si>
    <t>10.26.218.0</t>
  </si>
  <si>
    <t>10.21.255.135</t>
  </si>
  <si>
    <t>10.26.221.0</t>
  </si>
  <si>
    <t>10.26.222.0</t>
  </si>
  <si>
    <t>10.26.223.0</t>
  </si>
  <si>
    <t>10.26.224.0</t>
  </si>
  <si>
    <t>10.26.225.0</t>
  </si>
  <si>
    <t>10.26.226.0</t>
  </si>
  <si>
    <t>10.26.227.0</t>
  </si>
  <si>
    <t>10.26.228.0</t>
  </si>
  <si>
    <t>10.21.255.136</t>
  </si>
  <si>
    <t>10.26.231.0</t>
  </si>
  <si>
    <t>10.26.232.0</t>
  </si>
  <si>
    <t>10.26.233.0</t>
  </si>
  <si>
    <t>10.26.234.0</t>
  </si>
  <si>
    <t>10.26.235.0</t>
  </si>
  <si>
    <t>10.26.236.0</t>
  </si>
  <si>
    <t>10.26.237.0</t>
  </si>
  <si>
    <t>10.26.238.0</t>
  </si>
  <si>
    <t>10.21.255.137</t>
  </si>
  <si>
    <t>10.26.241.0</t>
  </si>
  <si>
    <t>10.26.242.0</t>
  </si>
  <si>
    <t>10.26.243.0</t>
  </si>
  <si>
    <t>10.26.244.0</t>
  </si>
  <si>
    <t>10.26.245.0</t>
  </si>
  <si>
    <t>10.26.246.0</t>
  </si>
  <si>
    <t>10.26.247.0</t>
  </si>
  <si>
    <t>10.26.248.0</t>
  </si>
  <si>
    <t>10.21.255.138</t>
  </si>
  <si>
    <t>10.27.11.0</t>
  </si>
  <si>
    <t>10.27.12.0</t>
  </si>
  <si>
    <t>10.27.13.0</t>
  </si>
  <si>
    <t>10.27.14.0</t>
  </si>
  <si>
    <t>10.27.15.0</t>
  </si>
  <si>
    <t>10.27.16.0</t>
  </si>
  <si>
    <t>10.27.17.0</t>
  </si>
  <si>
    <t>10.27.18.0</t>
  </si>
  <si>
    <t>10.21.255.139</t>
  </si>
  <si>
    <t>10.27.21.0</t>
  </si>
  <si>
    <t>10.27.22.0</t>
  </si>
  <si>
    <t>10.27.23.0</t>
  </si>
  <si>
    <t>10.27.24.0</t>
  </si>
  <si>
    <t>10.27.25.0</t>
  </si>
  <si>
    <t>10.27.26.0</t>
  </si>
  <si>
    <t>10.27.27.0</t>
  </si>
  <si>
    <t>10.27.28.0</t>
  </si>
  <si>
    <t>10.21.255.140</t>
  </si>
  <si>
    <t>10.27.31.0</t>
  </si>
  <si>
    <t>10.27.32.0</t>
  </si>
  <si>
    <t>10.27.33.0</t>
  </si>
  <si>
    <t>10.27.34.0</t>
  </si>
  <si>
    <t>10.27.35.0</t>
  </si>
  <si>
    <t>10.27.36.0</t>
  </si>
  <si>
    <t>10.27.37.0</t>
  </si>
  <si>
    <t>10.27.38.0</t>
  </si>
  <si>
    <t>10.21.255.141</t>
  </si>
  <si>
    <t>10.27.41.0</t>
  </si>
  <si>
    <t>10.27.42.0</t>
  </si>
  <si>
    <t>10.27.43.0</t>
  </si>
  <si>
    <t>10.27.44.0</t>
  </si>
  <si>
    <t>10.27.45.0</t>
  </si>
  <si>
    <t>10.27.46.0</t>
  </si>
  <si>
    <t>10.27.47.0</t>
  </si>
  <si>
    <t>10.27.48.0</t>
  </si>
  <si>
    <t>10.21.255.142</t>
  </si>
  <si>
    <t>10.27.51.0</t>
  </si>
  <si>
    <t>10.27.52.0</t>
  </si>
  <si>
    <t>10.27.53.0</t>
  </si>
  <si>
    <t>10.27.54.0</t>
  </si>
  <si>
    <t>10.27.55.0</t>
  </si>
  <si>
    <t>10.27.56.0</t>
  </si>
  <si>
    <t>10.27.57.0</t>
  </si>
  <si>
    <t>10.27.58.0</t>
  </si>
  <si>
    <t>10.21.255.143</t>
  </si>
  <si>
    <t>10.27.61.0</t>
  </si>
  <si>
    <t>10.27.62.0</t>
  </si>
  <si>
    <t>10.27.63.0</t>
  </si>
  <si>
    <t>10.27.64.0</t>
  </si>
  <si>
    <t>10.27.65.0</t>
  </si>
  <si>
    <t>10.27.66.0</t>
  </si>
  <si>
    <t>10.27.67.0</t>
  </si>
  <si>
    <t>10.27.68.0</t>
  </si>
  <si>
    <t>10.21.255.144</t>
  </si>
  <si>
    <t>10.27.71.0</t>
  </si>
  <si>
    <t>10.27.72.0</t>
  </si>
  <si>
    <t>10.27.73.0</t>
  </si>
  <si>
    <t>10.27.74.0</t>
  </si>
  <si>
    <t>10.27.75.0</t>
  </si>
  <si>
    <t>10.27.76.0</t>
  </si>
  <si>
    <t>10.27.77.0</t>
  </si>
  <si>
    <t>10.27.78.0</t>
  </si>
  <si>
    <t>10.21.255.145</t>
  </si>
  <si>
    <t>10.27.81.0</t>
  </si>
  <si>
    <t>10.27.82.0</t>
  </si>
  <si>
    <t>10.27.83.0</t>
  </si>
  <si>
    <t>10.27.84.0</t>
  </si>
  <si>
    <t>10.27.85.0</t>
  </si>
  <si>
    <t>10.27.86.0</t>
  </si>
  <si>
    <t>10.27.87.0</t>
  </si>
  <si>
    <t>10.27.88.0</t>
  </si>
  <si>
    <t>10.21.255.146</t>
  </si>
  <si>
    <t>10.27.91.0</t>
  </si>
  <si>
    <t>10.27.92.0</t>
  </si>
  <si>
    <t>10.27.93.0</t>
  </si>
  <si>
    <t>10.27.94.0</t>
  </si>
  <si>
    <t>10.27.95.0</t>
  </si>
  <si>
    <t>10.27.96.0</t>
  </si>
  <si>
    <t>10.27.97.0</t>
  </si>
  <si>
    <t>10.27.98.0</t>
  </si>
  <si>
    <t>10.21.255.147</t>
  </si>
  <si>
    <t>10.27.101.0</t>
  </si>
  <si>
    <t>10.27.102.0</t>
  </si>
  <si>
    <t>10.27.103.0</t>
  </si>
  <si>
    <t>10.27.104.0</t>
  </si>
  <si>
    <t>10.27.105.0</t>
  </si>
  <si>
    <t>10.27.106.0</t>
  </si>
  <si>
    <t>10.27.107.0</t>
  </si>
  <si>
    <t>10.27.108.0</t>
  </si>
  <si>
    <t>10.21.255.148</t>
  </si>
  <si>
    <t>10.27.111.0</t>
  </si>
  <si>
    <t>10.27.112.0</t>
  </si>
  <si>
    <t>10.27.113.0</t>
  </si>
  <si>
    <t>10.27.114.0</t>
  </si>
  <si>
    <t>10.27.115.0</t>
  </si>
  <si>
    <t>10.27.116.0</t>
  </si>
  <si>
    <t>10.27.117.0</t>
  </si>
  <si>
    <t>10.27.118.0</t>
  </si>
  <si>
    <t>10.21.255.149</t>
  </si>
  <si>
    <t>10.27.121.0</t>
  </si>
  <si>
    <t>10.27.122.0</t>
  </si>
  <si>
    <t>10.27.123.0</t>
  </si>
  <si>
    <t>10.27.124.0</t>
  </si>
  <si>
    <t>10.27.125.0</t>
  </si>
  <si>
    <t>10.27.126.0</t>
  </si>
  <si>
    <t>10.27.127.0</t>
  </si>
  <si>
    <t>10.27.128.0</t>
  </si>
  <si>
    <t>10.21.255.150</t>
  </si>
  <si>
    <t>10.27.131.0</t>
  </si>
  <si>
    <t>10.27.132.0</t>
  </si>
  <si>
    <t>10.27.133.0</t>
  </si>
  <si>
    <t>10.27.134.0</t>
  </si>
  <si>
    <t>10.27.135.0</t>
  </si>
  <si>
    <t>10.27.136.0</t>
  </si>
  <si>
    <t>10.27.137.0</t>
  </si>
  <si>
    <t>10.27.138.0</t>
  </si>
  <si>
    <t>10.21.255.151</t>
  </si>
  <si>
    <t>10.27.141.0</t>
  </si>
  <si>
    <t>10.27.142.0</t>
  </si>
  <si>
    <t>10.27.143.0</t>
  </si>
  <si>
    <t>10.27.144.0</t>
  </si>
  <si>
    <t>10.27.145.0</t>
  </si>
  <si>
    <t>10.27.146.0</t>
  </si>
  <si>
    <t>10.27.147.0</t>
  </si>
  <si>
    <t>10.27.148.0</t>
  </si>
  <si>
    <t>10.21.255.152</t>
  </si>
  <si>
    <t>10.27.151.0</t>
  </si>
  <si>
    <t>10.27.152.0</t>
  </si>
  <si>
    <t>10.27.153.0</t>
  </si>
  <si>
    <t>10.27.154.0</t>
  </si>
  <si>
    <t>10.27.155.0</t>
  </si>
  <si>
    <t>10.27.156.0</t>
  </si>
  <si>
    <t>10.27.157.0</t>
  </si>
  <si>
    <t>10.27.158.0</t>
  </si>
  <si>
    <t>10.21.255.153</t>
  </si>
  <si>
    <t>10.27.161.0</t>
  </si>
  <si>
    <t>10.27.162.0</t>
  </si>
  <si>
    <t>10.27.163.0</t>
  </si>
  <si>
    <t>10.27.164.0</t>
  </si>
  <si>
    <t>10.27.165.0</t>
  </si>
  <si>
    <t>10.27.166.0</t>
  </si>
  <si>
    <t>10.27.167.0</t>
  </si>
  <si>
    <t>10.27.168.0</t>
  </si>
  <si>
    <t>10.21.255.154</t>
  </si>
  <si>
    <t>10.27.171.0</t>
  </si>
  <si>
    <t>10.27.172.0</t>
  </si>
  <si>
    <t>10.27.173.0</t>
  </si>
  <si>
    <t>10.27.174.0</t>
  </si>
  <si>
    <t>10.27.175.0</t>
  </si>
  <si>
    <t>10.27.176.0</t>
  </si>
  <si>
    <t>10.27.177.0</t>
  </si>
  <si>
    <t>10.27.178.0</t>
  </si>
  <si>
    <t>10.21.255.155</t>
  </si>
  <si>
    <t>10.27.181.0</t>
  </si>
  <si>
    <t>10.27.182.0</t>
  </si>
  <si>
    <t>10.27.183.0</t>
  </si>
  <si>
    <t>10.27.184.0</t>
  </si>
  <si>
    <t>10.27.185.0</t>
  </si>
  <si>
    <t>10.27.186.0</t>
  </si>
  <si>
    <t>10.27.187.0</t>
  </si>
  <si>
    <t>10.27.188.0</t>
  </si>
  <si>
    <t>10.21.255.156</t>
  </si>
  <si>
    <t>10.27.191.0</t>
  </si>
  <si>
    <t>10.27.192.0</t>
  </si>
  <si>
    <t>10.27.193.0</t>
  </si>
  <si>
    <t>10.27.194.0</t>
  </si>
  <si>
    <t>10.27.195.0</t>
  </si>
  <si>
    <t>10.27.196.0</t>
  </si>
  <si>
    <t>10.27.197.0</t>
  </si>
  <si>
    <t>10.27.198.0</t>
  </si>
  <si>
    <t>10.21.255.157</t>
  </si>
  <si>
    <t>10.27.201.0</t>
  </si>
  <si>
    <t>10.27.202.0</t>
  </si>
  <si>
    <t>10.27.203.0</t>
  </si>
  <si>
    <t>10.27.204.0</t>
  </si>
  <si>
    <t>10.27.205.0</t>
  </si>
  <si>
    <t>10.27.206.0</t>
  </si>
  <si>
    <t>10.27.207.0</t>
  </si>
  <si>
    <t>10.27.208.0</t>
  </si>
  <si>
    <t>10.21.255.158</t>
  </si>
  <si>
    <t>10.27.211.0</t>
  </si>
  <si>
    <t>10.27.212.0</t>
  </si>
  <si>
    <t>10.27.213.0</t>
  </si>
  <si>
    <t>10.27.214.0</t>
  </si>
  <si>
    <t>10.27.215.0</t>
  </si>
  <si>
    <t>10.27.216.0</t>
  </si>
  <si>
    <t>10.27.217.0</t>
  </si>
  <si>
    <t>10.27.218.0</t>
  </si>
  <si>
    <t>10.21.255.159</t>
  </si>
  <si>
    <t>10.27.221.0</t>
  </si>
  <si>
    <t>10.27.222.0</t>
  </si>
  <si>
    <t>10.27.223.0</t>
  </si>
  <si>
    <t>10.27.224.0</t>
  </si>
  <si>
    <t>10.27.225.0</t>
  </si>
  <si>
    <t>10.27.226.0</t>
  </si>
  <si>
    <t>10.27.227.0</t>
  </si>
  <si>
    <t>10.27.228.0</t>
  </si>
  <si>
    <t>10.21.255.160</t>
  </si>
  <si>
    <t>10.27.231.0</t>
  </si>
  <si>
    <t>10.27.232.0</t>
  </si>
  <si>
    <t>10.27.233.0</t>
  </si>
  <si>
    <t>10.27.234.0</t>
  </si>
  <si>
    <t>10.27.235.0</t>
  </si>
  <si>
    <t>10.27.236.0</t>
  </si>
  <si>
    <t>10.27.237.0</t>
  </si>
  <si>
    <t>10.27.238.0</t>
  </si>
  <si>
    <t>10.21.255.161</t>
  </si>
  <si>
    <t>10.27.241.0</t>
  </si>
  <si>
    <t>10.27.242.0</t>
  </si>
  <si>
    <t>10.27.243.0</t>
  </si>
  <si>
    <t>10.27.244.0</t>
  </si>
  <si>
    <t>10.27.245.0</t>
  </si>
  <si>
    <t>10.27.246.0</t>
  </si>
  <si>
    <t>10.27.247.0</t>
  </si>
  <si>
    <t>10.27.248.0</t>
  </si>
  <si>
    <t>10.21.255.162</t>
  </si>
  <si>
    <t>10.28.11.0</t>
  </si>
  <si>
    <t>10.28.12.0</t>
  </si>
  <si>
    <t>10.28.13.0</t>
  </si>
  <si>
    <t>10.28.14.0</t>
  </si>
  <si>
    <t>10.28.15.0</t>
  </si>
  <si>
    <t>10.28.16.0</t>
  </si>
  <si>
    <t>10.28.17.0</t>
  </si>
  <si>
    <t>10.28.18.0</t>
  </si>
  <si>
    <t>10.21.255.163</t>
  </si>
  <si>
    <t>10.28.21.0</t>
  </si>
  <si>
    <t>10.28.22.0</t>
  </si>
  <si>
    <t>10.28.23.0</t>
  </si>
  <si>
    <t>10.28.24.0</t>
  </si>
  <si>
    <t>10.28.25.0</t>
  </si>
  <si>
    <t>10.28.26.0</t>
  </si>
  <si>
    <t>10.28.27.0</t>
  </si>
  <si>
    <t>10.28.28.0</t>
  </si>
  <si>
    <t>10.21.255.164</t>
  </si>
  <si>
    <t>10.28.31.0</t>
  </si>
  <si>
    <t>10.28.32.0</t>
  </si>
  <si>
    <t>10.28.33.0</t>
  </si>
  <si>
    <t>10.28.34.0</t>
  </si>
  <si>
    <t>10.28.35.0</t>
  </si>
  <si>
    <t>10.28.36.0</t>
  </si>
  <si>
    <t>10.28.37.0</t>
  </si>
  <si>
    <t>10.28.38.0</t>
  </si>
  <si>
    <t>10.21.255.165</t>
  </si>
  <si>
    <t>10.28.41.0</t>
  </si>
  <si>
    <t>10.28.42.0</t>
  </si>
  <si>
    <t>10.28.43.0</t>
  </si>
  <si>
    <t>10.28.44.0</t>
  </si>
  <si>
    <t>10.28.45.0</t>
  </si>
  <si>
    <t>10.28.46.0</t>
  </si>
  <si>
    <t>10.28.47.0</t>
  </si>
  <si>
    <t>10.28.48.0</t>
  </si>
  <si>
    <t>10.21.255.166</t>
  </si>
  <si>
    <t>10.28.51.0</t>
  </si>
  <si>
    <t>10.28.52.0</t>
  </si>
  <si>
    <t>10.28.53.0</t>
  </si>
  <si>
    <t>10.28.54.0</t>
  </si>
  <si>
    <t>10.28.55.0</t>
  </si>
  <si>
    <t>10.28.56.0</t>
  </si>
  <si>
    <t>10.28.57.0</t>
  </si>
  <si>
    <t>10.28.58.0</t>
  </si>
  <si>
    <t>10.21.255.167</t>
  </si>
  <si>
    <t>10.28.61.0</t>
  </si>
  <si>
    <t>10.28.62.0</t>
  </si>
  <si>
    <t>10.28.63.0</t>
  </si>
  <si>
    <t>10.28.64.0</t>
  </si>
  <si>
    <t>10.28.65.0</t>
  </si>
  <si>
    <t>10.28.66.0</t>
  </si>
  <si>
    <t>10.28.67.0</t>
  </si>
  <si>
    <t>10.28.68.0</t>
  </si>
  <si>
    <t>10.21.255.168</t>
  </si>
  <si>
    <t>10.28.71.0</t>
  </si>
  <si>
    <t>10.28.72.0</t>
  </si>
  <si>
    <t>10.28.73.0</t>
  </si>
  <si>
    <t>10.28.74.0</t>
  </si>
  <si>
    <t>10.28.75.0</t>
  </si>
  <si>
    <t>10.28.76.0</t>
  </si>
  <si>
    <t>10.28.77.0</t>
  </si>
  <si>
    <t>10.28.78.0</t>
  </si>
  <si>
    <t>10.21.255.169</t>
  </si>
  <si>
    <t>10.28.81.0</t>
  </si>
  <si>
    <t>10.28.82.0</t>
  </si>
  <si>
    <t>10.28.83.0</t>
  </si>
  <si>
    <t>10.28.84.0</t>
  </si>
  <si>
    <t>10.28.85.0</t>
  </si>
  <si>
    <t>10.28.86.0</t>
  </si>
  <si>
    <t>10.28.87.0</t>
  </si>
  <si>
    <t>10.28.88.0</t>
  </si>
  <si>
    <t>10.21.255.170</t>
  </si>
  <si>
    <t>10.28.91.0</t>
  </si>
  <si>
    <t>10.28.92.0</t>
  </si>
  <si>
    <t>10.28.93.0</t>
  </si>
  <si>
    <t>10.28.94.0</t>
  </si>
  <si>
    <t>10.28.95.0</t>
  </si>
  <si>
    <t>10.28.96.0</t>
  </si>
  <si>
    <t>10.28.97.0</t>
  </si>
  <si>
    <t>10.28.98.0</t>
  </si>
  <si>
    <t>10.21.255.171</t>
  </si>
  <si>
    <t>10.28.101.0</t>
  </si>
  <si>
    <t>10.28.102.0</t>
  </si>
  <si>
    <t>10.28.103.0</t>
  </si>
  <si>
    <t>10.28.104.0</t>
  </si>
  <si>
    <t>10.28.105.0</t>
  </si>
  <si>
    <t>10.28.106.0</t>
  </si>
  <si>
    <t>10.28.107.0</t>
  </si>
  <si>
    <t>10.28.108.0</t>
  </si>
  <si>
    <t>10.21.255.172</t>
  </si>
  <si>
    <t>10.28.111.0</t>
  </si>
  <si>
    <t>10.28.112.0</t>
  </si>
  <si>
    <t>10.28.113.0</t>
  </si>
  <si>
    <t>10.28.114.0</t>
  </si>
  <si>
    <t>10.28.115.0</t>
  </si>
  <si>
    <t>10.28.116.0</t>
  </si>
  <si>
    <t>10.28.117.0</t>
  </si>
  <si>
    <t>10.28.118.0</t>
  </si>
  <si>
    <t>10.21.255.173</t>
  </si>
  <si>
    <t>10.28.121.0</t>
  </si>
  <si>
    <t>10.28.122.0</t>
  </si>
  <si>
    <t>10.28.123.0</t>
  </si>
  <si>
    <t>10.28.124.0</t>
  </si>
  <si>
    <t>10.28.125.0</t>
  </si>
  <si>
    <t>10.28.126.0</t>
  </si>
  <si>
    <t>10.28.127.0</t>
  </si>
  <si>
    <t>10.28.128.0</t>
  </si>
  <si>
    <t>10.21.255.174</t>
  </si>
  <si>
    <t>10.28.131.0</t>
  </si>
  <si>
    <t>10.28.132.0</t>
  </si>
  <si>
    <t>10.28.133.0</t>
  </si>
  <si>
    <t>10.28.134.0</t>
  </si>
  <si>
    <t>10.28.135.0</t>
  </si>
  <si>
    <t>10.28.136.0</t>
  </si>
  <si>
    <t>10.28.137.0</t>
  </si>
  <si>
    <t>10.28.138.0</t>
  </si>
  <si>
    <t>10.21.255.175</t>
  </si>
  <si>
    <t>10.28.141.0</t>
  </si>
  <si>
    <t>10.28.142.0</t>
  </si>
  <si>
    <t>10.28.143.0</t>
  </si>
  <si>
    <t>10.28.144.0</t>
  </si>
  <si>
    <t>10.28.145.0</t>
  </si>
  <si>
    <t>10.28.146.0</t>
  </si>
  <si>
    <t>10.28.147.0</t>
  </si>
  <si>
    <t>10.28.148.0</t>
  </si>
  <si>
    <t>10.21.255.176</t>
  </si>
  <si>
    <t>10.28.151.0</t>
  </si>
  <si>
    <t>10.28.152.0</t>
  </si>
  <si>
    <t>10.28.153.0</t>
  </si>
  <si>
    <t>10.28.154.0</t>
  </si>
  <si>
    <t>10.28.155.0</t>
  </si>
  <si>
    <t>10.28.156.0</t>
  </si>
  <si>
    <t>10.28.157.0</t>
  </si>
  <si>
    <t>10.28.158.0</t>
  </si>
  <si>
    <t>10.21.255.177</t>
  </si>
  <si>
    <t>10.28.161.0</t>
  </si>
  <si>
    <t>10.28.162.0</t>
  </si>
  <si>
    <t>10.28.163.0</t>
  </si>
  <si>
    <t>10.28.164.0</t>
  </si>
  <si>
    <t>10.28.165.0</t>
  </si>
  <si>
    <t>10.28.166.0</t>
  </si>
  <si>
    <t>10.28.167.0</t>
  </si>
  <si>
    <t>10.28.168.0</t>
  </si>
  <si>
    <t>10.21.255.178</t>
  </si>
  <si>
    <t>10.28.171.0</t>
  </si>
  <si>
    <t>10.28.172.0</t>
  </si>
  <si>
    <t>10.28.173.0</t>
  </si>
  <si>
    <t>10.28.174.0</t>
  </si>
  <si>
    <t>10.28.175.0</t>
  </si>
  <si>
    <t>10.28.176.0</t>
  </si>
  <si>
    <t>10.28.177.0</t>
  </si>
  <si>
    <t>10.28.178.0</t>
  </si>
  <si>
    <t>10.21.255.179</t>
  </si>
  <si>
    <t>10.28.181.0</t>
  </si>
  <si>
    <t>10.28.182.0</t>
  </si>
  <si>
    <t>10.28.183.0</t>
  </si>
  <si>
    <t>10.28.184.0</t>
  </si>
  <si>
    <t>10.28.185.0</t>
  </si>
  <si>
    <t>10.28.186.0</t>
  </si>
  <si>
    <t>10.28.187.0</t>
  </si>
  <si>
    <t>10.28.188.0</t>
  </si>
  <si>
    <t>10.21.255.180</t>
  </si>
  <si>
    <t>10.28.191.0</t>
  </si>
  <si>
    <t>10.28.192.0</t>
  </si>
  <si>
    <t>10.28.193.0</t>
  </si>
  <si>
    <t>10.28.194.0</t>
  </si>
  <si>
    <t>10.28.195.0</t>
  </si>
  <si>
    <t>10.28.196.0</t>
  </si>
  <si>
    <t>10.28.197.0</t>
  </si>
  <si>
    <t>10.28.198.0</t>
  </si>
  <si>
    <t>10.21.255.181</t>
  </si>
  <si>
    <t>10.28.201.0</t>
  </si>
  <si>
    <t>10.28.202.0</t>
  </si>
  <si>
    <t>10.28.203.0</t>
  </si>
  <si>
    <t>10.28.204.0</t>
  </si>
  <si>
    <t>10.28.205.0</t>
  </si>
  <si>
    <t>10.28.206.0</t>
  </si>
  <si>
    <t>10.28.207.0</t>
  </si>
  <si>
    <t>10.28.208.0</t>
  </si>
  <si>
    <t>10.21.255.182</t>
  </si>
  <si>
    <t>10.28.211.0</t>
  </si>
  <si>
    <t>10.28.212.0</t>
  </si>
  <si>
    <t>10.28.213.0</t>
  </si>
  <si>
    <t>10.28.214.0</t>
  </si>
  <si>
    <t>10.28.215.0</t>
  </si>
  <si>
    <t>10.28.216.0</t>
  </si>
  <si>
    <t>10.28.217.0</t>
  </si>
  <si>
    <t>10.28.218.0</t>
  </si>
  <si>
    <t>10.21.255.183</t>
  </si>
  <si>
    <t>10.28.221.0</t>
  </si>
  <si>
    <t>10.28.222.0</t>
  </si>
  <si>
    <t>10.28.223.0</t>
  </si>
  <si>
    <t>10.28.224.0</t>
  </si>
  <si>
    <t>10.28.225.0</t>
  </si>
  <si>
    <t>10.28.226.0</t>
  </si>
  <si>
    <t>10.28.227.0</t>
  </si>
  <si>
    <t>10.28.228.0</t>
  </si>
  <si>
    <t>10.21.255.184</t>
  </si>
  <si>
    <t>10.28.231.0</t>
  </si>
  <si>
    <t>10.28.232.0</t>
  </si>
  <si>
    <t>10.28.233.0</t>
  </si>
  <si>
    <t>10.28.234.0</t>
  </si>
  <si>
    <t>10.28.235.0</t>
  </si>
  <si>
    <t>10.28.236.0</t>
  </si>
  <si>
    <t>10.28.237.0</t>
  </si>
  <si>
    <t>10.28.238.0</t>
  </si>
  <si>
    <t>10.21.255.185</t>
  </si>
  <si>
    <t>10.28.241.0</t>
  </si>
  <si>
    <t>10.28.242.0</t>
  </si>
  <si>
    <t>10.28.243.0</t>
  </si>
  <si>
    <t>10.28.244.0</t>
  </si>
  <si>
    <t>10.28.245.0</t>
  </si>
  <si>
    <t>10.28.246.0</t>
  </si>
  <si>
    <t>10.28.247.0</t>
  </si>
  <si>
    <t>10.28.248.0</t>
  </si>
  <si>
    <t>10.21.255.187</t>
  </si>
  <si>
    <t>10.29.21.0</t>
  </si>
  <si>
    <t>10.29.22.0</t>
  </si>
  <si>
    <t>10.29.23.0</t>
  </si>
  <si>
    <t>10.29.24.0</t>
  </si>
  <si>
    <t>10.29.25.0</t>
  </si>
  <si>
    <t>10.29.26.0</t>
  </si>
  <si>
    <t>10.29.27.0</t>
  </si>
  <si>
    <t>10.29.28.0</t>
  </si>
  <si>
    <t>10.21.255.189</t>
  </si>
  <si>
    <t>10.29.31.0</t>
  </si>
  <si>
    <t>10.29.32.0</t>
  </si>
  <si>
    <t>10.29.33.0</t>
  </si>
  <si>
    <t>10.29.34.0</t>
  </si>
  <si>
    <t>10.29.35.0</t>
  </si>
  <si>
    <t>10.29.36.0</t>
  </si>
  <si>
    <t>10.29.37.0</t>
  </si>
  <si>
    <t>10.29.38.0</t>
  </si>
  <si>
    <t>10.21.255.190</t>
  </si>
  <si>
    <t>10.29.41.0</t>
  </si>
  <si>
    <t>10.29.42.0</t>
  </si>
  <si>
    <t>10.29.43.0</t>
  </si>
  <si>
    <t>10.29.44.0</t>
  </si>
  <si>
    <t>10.29.45.0</t>
  </si>
  <si>
    <t>10.29.46.0</t>
  </si>
  <si>
    <t>10.29.47.0</t>
  </si>
  <si>
    <t>10.29.48.0</t>
  </si>
  <si>
    <t>10.21.255.191</t>
  </si>
  <si>
    <t>10.29.51.0</t>
  </si>
  <si>
    <t>10.29.52.0</t>
  </si>
  <si>
    <t>10.29.53.0</t>
  </si>
  <si>
    <t>10.29.54.0</t>
  </si>
  <si>
    <t>10.29.55.0</t>
  </si>
  <si>
    <t>10.29.56.0</t>
  </si>
  <si>
    <t>10.29.57.0</t>
  </si>
  <si>
    <t>10.29.58.0</t>
  </si>
  <si>
    <t>10.21.255.192</t>
  </si>
  <si>
    <t>10.29.61.0</t>
  </si>
  <si>
    <t>10.29.62.0</t>
  </si>
  <si>
    <t>10.29.63.0</t>
  </si>
  <si>
    <t>10.29.64.0</t>
  </si>
  <si>
    <t>10.29.65.0</t>
  </si>
  <si>
    <t>10.29.66.0</t>
  </si>
  <si>
    <t>10.29.67.0</t>
  </si>
  <si>
    <t>10.29.68.0</t>
  </si>
  <si>
    <t>10.21.255.193</t>
  </si>
  <si>
    <t>10.29.71.0</t>
  </si>
  <si>
    <t>10.29.72.0</t>
  </si>
  <si>
    <t>10.29.73.0</t>
  </si>
  <si>
    <t>10.29.74.0</t>
  </si>
  <si>
    <t>10.29.75.0</t>
  </si>
  <si>
    <t>10.29.76.0</t>
  </si>
  <si>
    <t>10.29.77.0</t>
  </si>
  <si>
    <t>10.29.78.0</t>
  </si>
  <si>
    <t>10.21.255.194</t>
  </si>
  <si>
    <t>10.29.81.0</t>
  </si>
  <si>
    <t>10.29.82.0</t>
  </si>
  <si>
    <t>10.29.83.0</t>
  </si>
  <si>
    <t>10.29.84.0</t>
  </si>
  <si>
    <t>10.29.85.0</t>
  </si>
  <si>
    <t>10.29.86.0</t>
  </si>
  <si>
    <t>10.29.87.0</t>
  </si>
  <si>
    <t>10.29.88.0</t>
  </si>
  <si>
    <t>10.21.255.195</t>
  </si>
  <si>
    <t>10.29.91.0</t>
  </si>
  <si>
    <t>10.29.92.0</t>
  </si>
  <si>
    <t>10.29.93.0</t>
  </si>
  <si>
    <t>10.29.94.0</t>
  </si>
  <si>
    <t>10.29.95.0</t>
  </si>
  <si>
    <t>10.29.96.0</t>
  </si>
  <si>
    <t>10.29.97.0</t>
  </si>
  <si>
    <t>10.29.98.0</t>
  </si>
  <si>
    <t>10.21.255.196</t>
  </si>
  <si>
    <t>10.29.101.0</t>
  </si>
  <si>
    <t>10.29.102.0</t>
  </si>
  <si>
    <t>10.29.103.0</t>
  </si>
  <si>
    <t>10.29.104.0</t>
  </si>
  <si>
    <t>10.29.105.0</t>
  </si>
  <si>
    <t>10.29.106.0</t>
  </si>
  <si>
    <t>10.29.107.0</t>
  </si>
  <si>
    <t>10.29.108.0</t>
  </si>
  <si>
    <t>10.21.255.197</t>
  </si>
  <si>
    <t>10.29.111.0</t>
  </si>
  <si>
    <t>10.29.112.0</t>
  </si>
  <si>
    <t>10.29.113.0</t>
  </si>
  <si>
    <t>10.29.114.0</t>
  </si>
  <si>
    <t>10.29.115.0</t>
  </si>
  <si>
    <t>10.29.116.0</t>
  </si>
  <si>
    <t>10.29.117.0</t>
  </si>
  <si>
    <t>10.29.118.0</t>
  </si>
  <si>
    <t>10.21.255.198</t>
  </si>
  <si>
    <t>10.29.121.0</t>
  </si>
  <si>
    <t>10.29.122.0</t>
  </si>
  <si>
    <t>10.29.123.0</t>
  </si>
  <si>
    <t>10.29.124.0</t>
  </si>
  <si>
    <t>10.29.125.0</t>
  </si>
  <si>
    <t>10.29.126.0</t>
  </si>
  <si>
    <t>10.29.127.0</t>
  </si>
  <si>
    <t>10.29.128.0</t>
  </si>
  <si>
    <t>10.21.255.199</t>
  </si>
  <si>
    <t>10.29.131.0</t>
  </si>
  <si>
    <t>10.29.132.0</t>
  </si>
  <si>
    <t>10.29.133.0</t>
  </si>
  <si>
    <t>10.29.134.0</t>
  </si>
  <si>
    <t>10.29.135.0</t>
  </si>
  <si>
    <t>10.29.136.0</t>
  </si>
  <si>
    <t>10.29.137.0</t>
  </si>
  <si>
    <t>10.29.138.0</t>
  </si>
  <si>
    <t>10.21.255.200</t>
  </si>
  <si>
    <t>10.29.141.0</t>
  </si>
  <si>
    <t>10.29.142.0</t>
  </si>
  <si>
    <t>10.29.143.0</t>
  </si>
  <si>
    <t>10.29.144.0</t>
  </si>
  <si>
    <t>10.29.145.0</t>
  </si>
  <si>
    <t>10.29.146.0</t>
  </si>
  <si>
    <t>10.29.147.0</t>
  </si>
  <si>
    <t>10.29.148.0</t>
  </si>
  <si>
    <t>10.21.255.201</t>
  </si>
  <si>
    <t>10.29.151.0</t>
  </si>
  <si>
    <t>10.29.152.0</t>
  </si>
  <si>
    <t>10.29.153.0</t>
  </si>
  <si>
    <t>10.29.154.0</t>
  </si>
  <si>
    <t>10.29.155.0</t>
  </si>
  <si>
    <t>10.29.156.0</t>
  </si>
  <si>
    <t>10.29.157.0</t>
  </si>
  <si>
    <t>10.29.158.0</t>
  </si>
  <si>
    <t>10.21.255.202</t>
  </si>
  <si>
    <t>10.29.161.0</t>
  </si>
  <si>
    <t>10.29.162.0</t>
  </si>
  <si>
    <t>10.29.163.0</t>
  </si>
  <si>
    <t>10.29.164.0</t>
  </si>
  <si>
    <t>10.29.165.0</t>
  </si>
  <si>
    <t>10.29.166.0</t>
  </si>
  <si>
    <t>10.29.167.0</t>
  </si>
  <si>
    <t>10.29.168.0</t>
  </si>
  <si>
    <t>10.21.255.203</t>
  </si>
  <si>
    <t>10.29.171.0</t>
  </si>
  <si>
    <t>10.29.172.0</t>
  </si>
  <si>
    <t>10.29.173.0</t>
  </si>
  <si>
    <t>10.29.174.0</t>
  </si>
  <si>
    <t>10.29.175.0</t>
  </si>
  <si>
    <t>10.29.176.0</t>
  </si>
  <si>
    <t>10.29.177.0</t>
  </si>
  <si>
    <t>10.29.178.0</t>
  </si>
  <si>
    <t>10.21.255.204</t>
  </si>
  <si>
    <t>10.29.181.0</t>
  </si>
  <si>
    <t>10.29.182.0</t>
  </si>
  <si>
    <t>10.29.183.0</t>
  </si>
  <si>
    <t>10.29.184.0</t>
  </si>
  <si>
    <t>10.29.185.0</t>
  </si>
  <si>
    <t>10.29.186.0</t>
  </si>
  <si>
    <t>10.29.187.0</t>
  </si>
  <si>
    <t>10.29.188.0</t>
  </si>
  <si>
    <t>10.21.255.205</t>
  </si>
  <si>
    <t>10.29.191.0</t>
  </si>
  <si>
    <t>10.29.192.0</t>
  </si>
  <si>
    <t>10.29.193.0</t>
  </si>
  <si>
    <t>10.29.194.0</t>
  </si>
  <si>
    <t>10.29.195.0</t>
  </si>
  <si>
    <t>10.29.196.0</t>
  </si>
  <si>
    <t>10.29.197.0</t>
  </si>
  <si>
    <t>10.29.198.0</t>
  </si>
  <si>
    <t>10.21.255.206</t>
  </si>
  <si>
    <t>10.29.201.0</t>
  </si>
  <si>
    <t>10.29.202.0</t>
  </si>
  <si>
    <t>10.29.203.0</t>
  </si>
  <si>
    <t>10.29.204.0</t>
  </si>
  <si>
    <t>10.29.205.0</t>
  </si>
  <si>
    <t>10.29.206.0</t>
  </si>
  <si>
    <t>10.29.207.0</t>
  </si>
  <si>
    <t>10.29.208.0</t>
  </si>
  <si>
    <t>10.21.255.207</t>
  </si>
  <si>
    <t>10.29.211.0</t>
  </si>
  <si>
    <t>10.29.212.0</t>
  </si>
  <si>
    <t>10.29.213.0</t>
  </si>
  <si>
    <t>10.29.214.0</t>
  </si>
  <si>
    <t>10.29.215.0</t>
  </si>
  <si>
    <t>10.29.216.0</t>
  </si>
  <si>
    <t>10.29.217.0</t>
  </si>
  <si>
    <t>10.29.218.0</t>
  </si>
  <si>
    <t>10.21.255.208</t>
  </si>
  <si>
    <t>10.29.221.0</t>
  </si>
  <si>
    <t>10.29.222.0</t>
  </si>
  <si>
    <t>10.29.223.0</t>
  </si>
  <si>
    <t>10.29.224.0</t>
  </si>
  <si>
    <t>10.29.225.0</t>
  </si>
  <si>
    <t>10.29.226.0</t>
  </si>
  <si>
    <t>10.29.227.0</t>
  </si>
  <si>
    <t>10.29.228.0</t>
  </si>
  <si>
    <t>10.21.255.211</t>
  </si>
  <si>
    <t>10.29.231.0</t>
  </si>
  <si>
    <t>10.29.232.0</t>
  </si>
  <si>
    <t>10.29.233.0</t>
  </si>
  <si>
    <t>10.29.234.0</t>
  </si>
  <si>
    <t>10.29.235.0</t>
  </si>
  <si>
    <t>10.29.236.0</t>
  </si>
  <si>
    <t>10.29.237.0</t>
  </si>
  <si>
    <t>10.29.238.0</t>
  </si>
  <si>
    <t>10.21.255.212</t>
  </si>
  <si>
    <t>10.29.241.0</t>
  </si>
  <si>
    <t>10.29.242.0</t>
  </si>
  <si>
    <t>10.29.243.0</t>
  </si>
  <si>
    <t>10.29.244.0</t>
  </si>
  <si>
    <t>10.29.245.0</t>
  </si>
  <si>
    <t>10.29.246.0</t>
  </si>
  <si>
    <t>10.29.247.0</t>
  </si>
  <si>
    <t>10.29.248.0</t>
  </si>
  <si>
    <t>10.21.255.213</t>
  </si>
  <si>
    <t>10.30.11.0</t>
  </si>
  <si>
    <t>10.30.12.0</t>
  </si>
  <si>
    <t>10.30.13.0</t>
  </si>
  <si>
    <t>10.30.14.0</t>
  </si>
  <si>
    <t>10.30.15.0</t>
  </si>
  <si>
    <t>10.30.16.0</t>
  </si>
  <si>
    <t>10.30.17.0</t>
  </si>
  <si>
    <t>10.30.18.0</t>
  </si>
  <si>
    <t>10.21.255.214</t>
  </si>
  <si>
    <t>10.30.21.0</t>
  </si>
  <si>
    <t>10.30.22.0</t>
  </si>
  <si>
    <t>10.30.23.0</t>
  </si>
  <si>
    <t>10.30.24.0</t>
  </si>
  <si>
    <t>10.30.25.0</t>
  </si>
  <si>
    <t>10.30.26.0</t>
  </si>
  <si>
    <t>10.30.27.0</t>
  </si>
  <si>
    <t>10.30.28.0</t>
  </si>
  <si>
    <t>10.21.255.215</t>
  </si>
  <si>
    <t>10.30.31.0</t>
  </si>
  <si>
    <t>10.30.32.0</t>
  </si>
  <si>
    <t>10.30.33.0</t>
  </si>
  <si>
    <t>10.30.34.0</t>
  </si>
  <si>
    <t>10.30.35.0</t>
  </si>
  <si>
    <t>10.30.36.0</t>
  </si>
  <si>
    <t>10.30.37.0</t>
  </si>
  <si>
    <t>10.30.38.0</t>
  </si>
  <si>
    <t>10.21.255.216</t>
  </si>
  <si>
    <t>10.30.41.0</t>
  </si>
  <si>
    <t>10.30.42.0</t>
  </si>
  <si>
    <t>10.30.43.0</t>
  </si>
  <si>
    <t>10.30.44.0</t>
  </si>
  <si>
    <t>10.30.45.0</t>
  </si>
  <si>
    <t>10.30.46.0</t>
  </si>
  <si>
    <t>10.30.47.0</t>
  </si>
  <si>
    <t>10.30.48.0</t>
  </si>
  <si>
    <t>10.21.255.217</t>
  </si>
  <si>
    <t>10.30.51.0</t>
  </si>
  <si>
    <t>10.30.52.0</t>
  </si>
  <si>
    <t>10.30.53.0</t>
  </si>
  <si>
    <t>10.30.54.0</t>
  </si>
  <si>
    <t>10.30.55.0</t>
  </si>
  <si>
    <t>10.30.56.0</t>
  </si>
  <si>
    <t>10.30.57.0</t>
  </si>
  <si>
    <t>10.30.58.0</t>
  </si>
  <si>
    <t>10.21.255.218</t>
  </si>
  <si>
    <t>10.30.61.0</t>
  </si>
  <si>
    <t>10.30.62.0</t>
  </si>
  <si>
    <t>10.30.63.0</t>
  </si>
  <si>
    <t>10.30.64.0</t>
  </si>
  <si>
    <t>10.30.65.0</t>
  </si>
  <si>
    <t>10.30.66.0</t>
  </si>
  <si>
    <t>10.30.67.0</t>
  </si>
  <si>
    <t>10.30.68.0</t>
  </si>
  <si>
    <t>10.21.255.219</t>
  </si>
  <si>
    <t>10.30.71.0</t>
  </si>
  <si>
    <t>10.30.72.0</t>
  </si>
  <si>
    <t>10.30.73.0</t>
  </si>
  <si>
    <t>10.30.74.0</t>
  </si>
  <si>
    <t>10.30.75.0</t>
  </si>
  <si>
    <t>10.30.76.0</t>
  </si>
  <si>
    <t>10.30.77.0</t>
  </si>
  <si>
    <t>10.30.78.0</t>
  </si>
  <si>
    <t>10.21.255.220</t>
  </si>
  <si>
    <t>10.30.81.0</t>
  </si>
  <si>
    <t>10.30.82.0</t>
  </si>
  <si>
    <t>10.30.83.0</t>
  </si>
  <si>
    <t>10.30.84.0</t>
  </si>
  <si>
    <t>10.30.85.0</t>
  </si>
  <si>
    <t>10.30.86.0</t>
  </si>
  <si>
    <t>10.30.87.0</t>
  </si>
  <si>
    <t>10.30.88.0</t>
  </si>
  <si>
    <t>10.21.255.221</t>
  </si>
  <si>
    <t>10.30.91.0</t>
  </si>
  <si>
    <t>10.30.92.0</t>
  </si>
  <si>
    <t>10.30.93.0</t>
  </si>
  <si>
    <t>10.30.94.0</t>
  </si>
  <si>
    <t>10.30.95.0</t>
  </si>
  <si>
    <t>10.30.96.0</t>
  </si>
  <si>
    <t>10.30.97.0</t>
  </si>
  <si>
    <t>10.30.98.0</t>
  </si>
  <si>
    <t>10.21.255.222</t>
  </si>
  <si>
    <t>10.30.101.0</t>
  </si>
  <si>
    <t>10.30.102.0</t>
  </si>
  <si>
    <t>10.30.103.0</t>
  </si>
  <si>
    <t>10.30.104.0</t>
  </si>
  <si>
    <t>10.30.105.0</t>
  </si>
  <si>
    <t>10.30.106.0</t>
  </si>
  <si>
    <t>10.30.107.0</t>
  </si>
  <si>
    <t>10.30.108.0</t>
  </si>
  <si>
    <t>10.21.255.227</t>
  </si>
  <si>
    <t>10.30.111.0</t>
  </si>
  <si>
    <t>10.30.112.0</t>
  </si>
  <si>
    <t>10.30.113.0</t>
  </si>
  <si>
    <t>10.30.114.0</t>
  </si>
  <si>
    <t>10.30.115.0</t>
  </si>
  <si>
    <t>10.30.116.0</t>
  </si>
  <si>
    <t>10.30.117.0</t>
  </si>
  <si>
    <t>10.30.118.0</t>
  </si>
  <si>
    <t>10.21.255.228</t>
  </si>
  <si>
    <t>10.30.121.0</t>
  </si>
  <si>
    <t>10.30.122.0</t>
  </si>
  <si>
    <t>10.30.123.0</t>
  </si>
  <si>
    <t>10.30.124.0</t>
  </si>
  <si>
    <t>10.30.125.0</t>
  </si>
  <si>
    <t>10.30.126.0</t>
  </si>
  <si>
    <t>10.30.127.0</t>
  </si>
  <si>
    <t>10.30.128.0</t>
  </si>
  <si>
    <t>10.21.255.229</t>
  </si>
  <si>
    <t>10.30.131.0</t>
  </si>
  <si>
    <t>10.30.132.0</t>
  </si>
  <si>
    <t>10.30.133.0</t>
  </si>
  <si>
    <t>10.30.134.0</t>
  </si>
  <si>
    <t>10.30.135.0</t>
  </si>
  <si>
    <t>10.30.136.0</t>
  </si>
  <si>
    <t>10.30.137.0</t>
  </si>
  <si>
    <t>10.30.138.0</t>
  </si>
  <si>
    <t>10.21.255.230</t>
  </si>
  <si>
    <t>10.30.141.0</t>
  </si>
  <si>
    <t>10.30.142.0</t>
  </si>
  <si>
    <t>10.30.143.0</t>
  </si>
  <si>
    <t>10.30.144.0</t>
  </si>
  <si>
    <t>10.30.145.0</t>
  </si>
  <si>
    <t>10.30.146.0</t>
  </si>
  <si>
    <t>10.30.147.0</t>
  </si>
  <si>
    <t>10.30.148.0</t>
  </si>
  <si>
    <t>10.21.255.231</t>
  </si>
  <si>
    <t>10.30.151.0</t>
  </si>
  <si>
    <t>10.30.152.0</t>
  </si>
  <si>
    <t>10.30.153.0</t>
  </si>
  <si>
    <t>10.30.154.0</t>
  </si>
  <si>
    <t>10.30.155.0</t>
  </si>
  <si>
    <t>10.30.156.0</t>
  </si>
  <si>
    <t>10.30.157.0</t>
  </si>
  <si>
    <t>10.30.158.0</t>
  </si>
  <si>
    <t>10.21.255.232</t>
  </si>
  <si>
    <t>10.30.161.0</t>
  </si>
  <si>
    <t>10.30.162.0</t>
  </si>
  <si>
    <t>10.30.163.0</t>
  </si>
  <si>
    <t>10.30.164.0</t>
  </si>
  <si>
    <t>10.30.165.0</t>
  </si>
  <si>
    <t>10.30.166.0</t>
  </si>
  <si>
    <t>10.30.167.0</t>
  </si>
  <si>
    <t>10.30.168.0</t>
  </si>
  <si>
    <t>10.21.255.233</t>
  </si>
  <si>
    <t>10.30.171.0</t>
  </si>
  <si>
    <t>10.30.172.0</t>
  </si>
  <si>
    <t>10.30.173.0</t>
  </si>
  <si>
    <t>10.30.174.0</t>
  </si>
  <si>
    <t>10.30.175.0</t>
  </si>
  <si>
    <t>10.30.176.0</t>
  </si>
  <si>
    <t>10.30.177.0</t>
  </si>
  <si>
    <t>10.30.178.0</t>
  </si>
  <si>
    <t>10.21.255.234</t>
  </si>
  <si>
    <t>10.30.181.0</t>
  </si>
  <si>
    <t>10.30.182.0</t>
  </si>
  <si>
    <t>10.30.183.0</t>
  </si>
  <si>
    <t>10.30.184.0</t>
  </si>
  <si>
    <t>10.30.185.0</t>
  </si>
  <si>
    <t>10.30.186.0</t>
  </si>
  <si>
    <t>10.30.187.0</t>
  </si>
  <si>
    <t>10.30.188.0</t>
  </si>
  <si>
    <t>10.21.255.235</t>
  </si>
  <si>
    <t>10.30.191.0</t>
  </si>
  <si>
    <t>10.30.192.0</t>
  </si>
  <si>
    <t>10.30.193.0</t>
  </si>
  <si>
    <t>10.30.194.0</t>
  </si>
  <si>
    <t>10.30.195.0</t>
  </si>
  <si>
    <t>10.30.196.0</t>
  </si>
  <si>
    <t>10.30.197.0</t>
  </si>
  <si>
    <t>10.30.198.0</t>
  </si>
  <si>
    <t>10.21.255.236</t>
  </si>
  <si>
    <t>10.30.201.0</t>
  </si>
  <si>
    <t>10.30.202.0</t>
  </si>
  <si>
    <t>10.30.203.0</t>
  </si>
  <si>
    <t>10.30.204.0</t>
  </si>
  <si>
    <t>10.30.205.0</t>
  </si>
  <si>
    <t>10.30.206.0</t>
  </si>
  <si>
    <t>10.30.207.0</t>
  </si>
  <si>
    <t>10.30.208.0</t>
  </si>
  <si>
    <t>10.21.255.237</t>
  </si>
  <si>
    <t>10.30.211.0</t>
  </si>
  <si>
    <t>10.30.212.0</t>
  </si>
  <si>
    <t>10.30.213.0</t>
  </si>
  <si>
    <t>10.30.214.0</t>
  </si>
  <si>
    <t>10.30.215.0</t>
  </si>
  <si>
    <t>10.30.216.0</t>
  </si>
  <si>
    <t>10.30.217.0</t>
  </si>
  <si>
    <t>10.30.218.0</t>
  </si>
  <si>
    <t>10.21.255.238</t>
  </si>
  <si>
    <t>10.30.221.0</t>
  </si>
  <si>
    <t>10.30.222.0</t>
  </si>
  <si>
    <t>10.30.223.0</t>
  </si>
  <si>
    <t>10.30.224.0</t>
  </si>
  <si>
    <t>10.30.225.0</t>
  </si>
  <si>
    <t>10.30.226.0</t>
  </si>
  <si>
    <t>10.30.227.0</t>
  </si>
  <si>
    <t>10.30.228.0</t>
  </si>
  <si>
    <t>Containers</t>
  </si>
  <si>
    <t>SN</t>
  </si>
  <si>
    <t>Model</t>
  </si>
  <si>
    <t>IP Address</t>
  </si>
  <si>
    <t>MAC</t>
  </si>
  <si>
    <t>eGauge Name</t>
  </si>
  <si>
    <t>Default Username</t>
  </si>
  <si>
    <t>Default Password</t>
  </si>
  <si>
    <t>Custom Name</t>
  </si>
  <si>
    <t>LAN Username</t>
  </si>
  <si>
    <t>LAN Password</t>
  </si>
  <si>
    <t>Configured</t>
  </si>
  <si>
    <t>C000 / C001</t>
  </si>
  <si>
    <t>EG4115</t>
  </si>
  <si>
    <t>10.21.10.7</t>
  </si>
  <si>
    <t>f8:2f:5b:03:6d:c6</t>
  </si>
  <si>
    <t>eGauge76695</t>
  </si>
  <si>
    <t>owner</t>
  </si>
  <si>
    <t>rJv4F6h7</t>
  </si>
  <si>
    <t>WH-XF001</t>
  </si>
  <si>
    <t>mara</t>
  </si>
  <si>
    <t>marawh</t>
  </si>
  <si>
    <t>Yes</t>
  </si>
  <si>
    <t>C002 / C003</t>
  </si>
  <si>
    <t>10.21.10.71</t>
  </si>
  <si>
    <t>f8:2f:5b:03:6d:e2</t>
  </si>
  <si>
    <t>eGauge76683</t>
  </si>
  <si>
    <t>qYd5i9e4</t>
  </si>
  <si>
    <t>WH-XF002</t>
  </si>
  <si>
    <t>C004 / C005</t>
  </si>
  <si>
    <t>EG4015</t>
  </si>
  <si>
    <t>10.21.10.199</t>
  </si>
  <si>
    <t>f8:2f:5b:05:05:9a</t>
  </si>
  <si>
    <t>eGauge103568</t>
  </si>
  <si>
    <t>Z9X4ZmAh</t>
  </si>
  <si>
    <t>WH-XF003</t>
  </si>
  <si>
    <t>offline</t>
  </si>
  <si>
    <t>C006 / C007</t>
  </si>
  <si>
    <t>10.21.60.20</t>
  </si>
  <si>
    <t>f8:2f:5b:05:07:32</t>
  </si>
  <si>
    <t>eGauge103569</t>
  </si>
  <si>
    <t>d7bTpU8w</t>
  </si>
  <si>
    <t>WH-XF004</t>
  </si>
  <si>
    <t>C008 / C009</t>
  </si>
  <si>
    <t>10.21.80.20</t>
  </si>
  <si>
    <t>f8:2f:5b:05:06:02</t>
  </si>
  <si>
    <t>eGauge103574</t>
  </si>
  <si>
    <t>y6h3V8iC</t>
  </si>
  <si>
    <t>WH-XF005</t>
  </si>
  <si>
    <t>C010 / C011</t>
  </si>
  <si>
    <t>10.21.100.20</t>
  </si>
  <si>
    <t>f8:2f:5b:04:d7:3e</t>
  </si>
  <si>
    <t>eGauge103614</t>
  </si>
  <si>
    <t>2nC2S8g4</t>
  </si>
  <si>
    <t>WH-XF006</t>
  </si>
  <si>
    <t>C012 / C013</t>
  </si>
  <si>
    <t>10.21.120.20</t>
  </si>
  <si>
    <t>f8:2f:5b:05:07:2a</t>
  </si>
  <si>
    <t>eGauge103565</t>
  </si>
  <si>
    <t>zGs8GqK8</t>
  </si>
  <si>
    <t>WH-XF007</t>
  </si>
  <si>
    <t>C014 / C015</t>
  </si>
  <si>
    <t>10.10.2.197</t>
  </si>
  <si>
    <t>f8:2f:5b:03:6e:36</t>
  </si>
  <si>
    <t>eGauge76658</t>
  </si>
  <si>
    <t>dG8yN5f4</t>
  </si>
  <si>
    <t>WH-XF008</t>
  </si>
  <si>
    <t>C016 / C017</t>
  </si>
  <si>
    <t>10.22.40.20</t>
  </si>
  <si>
    <t>f8:2f:5b:03:6e:3a</t>
  </si>
  <si>
    <t>eGauge76649</t>
  </si>
  <si>
    <t>Bw4Tk3T4</t>
  </si>
  <si>
    <t>WH-XF009</t>
  </si>
  <si>
    <t>Partial</t>
  </si>
  <si>
    <t>CT Sensor is reading 353KW</t>
  </si>
  <si>
    <t>C018 / C019</t>
  </si>
  <si>
    <t>10.22.60.20</t>
  </si>
  <si>
    <t>f8:2f:5b:05:05:c2</t>
  </si>
  <si>
    <t>eGauge103560</t>
  </si>
  <si>
    <t>9Gj3Es8m</t>
  </si>
  <si>
    <t>WH-XF010</t>
  </si>
  <si>
    <t>C020 / C021</t>
  </si>
  <si>
    <t>10.22.80.20</t>
  </si>
  <si>
    <t>f8:2f:5b:05:06:e6</t>
  </si>
  <si>
    <t>eGauge103561</t>
  </si>
  <si>
    <t>h9Jo9n3B</t>
  </si>
  <si>
    <t>WH-XF011</t>
  </si>
  <si>
    <t>C022 / C023</t>
  </si>
  <si>
    <t>10.22.100.20</t>
  </si>
  <si>
    <t>f8:2f:5b:05:08:ee</t>
  </si>
  <si>
    <t>eGauge103567</t>
  </si>
  <si>
    <t>5s5vR7v8</t>
  </si>
  <si>
    <t>WH-XF012</t>
  </si>
  <si>
    <t>C024 / C025</t>
  </si>
  <si>
    <t>10.22.120.20</t>
  </si>
  <si>
    <t>f8:2f:5b:05:07:0e</t>
  </si>
  <si>
    <t>eGauge103566</t>
  </si>
  <si>
    <t>s9J7N2C9</t>
  </si>
  <si>
    <t>WH-XF013</t>
  </si>
  <si>
    <t>C026 / C027</t>
  </si>
  <si>
    <t>10.22.140.20</t>
  </si>
  <si>
    <t>f8:2f:5b:05:07:12</t>
  </si>
  <si>
    <t>eGauge103585</t>
  </si>
  <si>
    <t>N2VoJuZj</t>
  </si>
  <si>
    <t>WH-XF014</t>
  </si>
  <si>
    <t>C028 / C029</t>
  </si>
  <si>
    <t>10.23.10.20</t>
  </si>
  <si>
    <t>f8:2f:5b:03:62:2e</t>
  </si>
  <si>
    <t>eGauge76639</t>
  </si>
  <si>
    <t>2aL7X6pU</t>
  </si>
  <si>
    <t>WH-XF015</t>
  </si>
  <si>
    <t>C030 / C031</t>
  </si>
  <si>
    <t>10.23.30.20</t>
  </si>
  <si>
    <t>f8:2f:5b:03:6d:6e</t>
  </si>
  <si>
    <t>eGauge76725</t>
  </si>
  <si>
    <t>J4Cu2h2Y</t>
  </si>
  <si>
    <t>WH-XF016</t>
  </si>
  <si>
    <t>CT Sensor reading 629KW</t>
  </si>
  <si>
    <t>C032 / C033</t>
  </si>
  <si>
    <t>10.23.50.20</t>
  </si>
  <si>
    <t>f8:2f:5b:05:07:ea</t>
  </si>
  <si>
    <t>eGauge103577</t>
  </si>
  <si>
    <t>4M8UhU3w</t>
  </si>
  <si>
    <t>WH-XF017</t>
  </si>
  <si>
    <t>C034 / C035</t>
  </si>
  <si>
    <t>10.23.70.20</t>
  </si>
  <si>
    <t>f8:2f:5b:05:07:46</t>
  </si>
  <si>
    <t>eGauge103564</t>
  </si>
  <si>
    <t>Ge5J8ZaZ</t>
  </si>
  <si>
    <t>WH-XF018</t>
  </si>
  <si>
    <t>C036 / C037</t>
  </si>
  <si>
    <t>10.23.90.20</t>
  </si>
  <si>
    <t>f8:2f:5b:05:08:e2</t>
  </si>
  <si>
    <t>eGauge103573</t>
  </si>
  <si>
    <t>8Rd7Jv6J</t>
  </si>
  <si>
    <t>WH-XF019</t>
  </si>
  <si>
    <t>C038 / C039</t>
  </si>
  <si>
    <t>10.23.110.20</t>
  </si>
  <si>
    <t>f8:2f:5b:04:db:8e</t>
  </si>
  <si>
    <t>eGauge101647</t>
  </si>
  <si>
    <t>KfFf3jDb</t>
  </si>
  <si>
    <t>WH-XF020</t>
  </si>
  <si>
    <t>C040 / C041</t>
  </si>
  <si>
    <t>10.23.130.21</t>
  </si>
  <si>
    <t>f8:2f:5b:05:05:86</t>
  </si>
  <si>
    <t>eGauge103571</t>
  </si>
  <si>
    <t>H2jMc8Tx</t>
  </si>
  <si>
    <t>WH-XF021</t>
  </si>
  <si>
    <t>C042 / C043</t>
  </si>
  <si>
    <t>10.24.20.20</t>
  </si>
  <si>
    <t>f8:2f:5b:03:6d:ee</t>
  </si>
  <si>
    <t>eGauge76707</t>
  </si>
  <si>
    <t>3iR9F6e7</t>
  </si>
  <si>
    <t>WH-XF022</t>
  </si>
  <si>
    <t>CT Sensor reading 618KW</t>
  </si>
  <si>
    <t>C044 / C045</t>
  </si>
  <si>
    <t>10.24.30.20</t>
  </si>
  <si>
    <t>f8:2f:5b:03:6d:d2</t>
  </si>
  <si>
    <t>eGauge76715</t>
  </si>
  <si>
    <t>7NhH4aLa</t>
  </si>
  <si>
    <t>WH-XF023</t>
  </si>
  <si>
    <t>C046 / C047</t>
  </si>
  <si>
    <t>10.24.60.20</t>
  </si>
  <si>
    <t>f8:2f:5b:05:07:f2</t>
  </si>
  <si>
    <t>eGauge103583</t>
  </si>
  <si>
    <t>5Y9kU6W4</t>
  </si>
  <si>
    <t>WH-XF024</t>
  </si>
  <si>
    <t>10.24.80.20</t>
  </si>
  <si>
    <t>f8:2f:5b:05:06:1a</t>
  </si>
  <si>
    <t>eGauge103575</t>
  </si>
  <si>
    <t>aJ9s5Bc4</t>
  </si>
  <si>
    <t>WH-XF025</t>
  </si>
  <si>
    <t>C050 / C051</t>
  </si>
  <si>
    <t>10.24.100.20</t>
  </si>
  <si>
    <t>f8:2f:5b:05:07:36</t>
  </si>
  <si>
    <t>eGauge103563</t>
  </si>
  <si>
    <t>WeU6y9Wx</t>
  </si>
  <si>
    <t>WH-XF026</t>
  </si>
  <si>
    <t>C052 / C053</t>
  </si>
  <si>
    <t>10.24.120.20</t>
  </si>
  <si>
    <t>f8:2f:5b:05:05:52</t>
  </si>
  <si>
    <t>eGauge103581</t>
  </si>
  <si>
    <t>5m7VrG6M</t>
  </si>
  <si>
    <t>WH-XF027</t>
  </si>
  <si>
    <t>C054 / C055</t>
  </si>
  <si>
    <t>10.24.140.20</t>
  </si>
  <si>
    <t>f8:2f:5b:05:05:be</t>
  </si>
  <si>
    <t>eGauge103076</t>
  </si>
  <si>
    <t>4YuUn3e9</t>
  </si>
  <si>
    <t>WH-XF028</t>
  </si>
  <si>
    <t>C056 / C057</t>
  </si>
  <si>
    <t>10.21.140.20</t>
  </si>
  <si>
    <t>f8:2f:5b:05:06:f6</t>
  </si>
  <si>
    <t>eGauge103559</t>
  </si>
  <si>
    <t>g2wShE8w</t>
  </si>
  <si>
    <t>WH-XF029</t>
  </si>
  <si>
    <t>C058 / C059</t>
  </si>
  <si>
    <t>10.21.160.20</t>
  </si>
  <si>
    <t>f8:2f:5b:05:06:e2</t>
  </si>
  <si>
    <t>eGauge103562</t>
  </si>
  <si>
    <t>N6hFw4bF</t>
  </si>
  <si>
    <t>WH-XF030</t>
  </si>
  <si>
    <t>C060 / C061</t>
  </si>
  <si>
    <t>10.22.160.20</t>
  </si>
  <si>
    <t>f8:2f:5b:04:d7:4e</t>
  </si>
  <si>
    <t>eGauge103616</t>
  </si>
  <si>
    <t>X5F3X6Zc</t>
  </si>
  <si>
    <t>WH-XF031</t>
  </si>
  <si>
    <t>C062 / C063</t>
  </si>
  <si>
    <t>10.22.180.20</t>
  </si>
  <si>
    <t>f8:2f:5b:05:05:66</t>
  </si>
  <si>
    <t>eGauge103579</t>
  </si>
  <si>
    <t>C2f7Vu3b</t>
  </si>
  <si>
    <t>WH-XF032</t>
  </si>
  <si>
    <t>C064 / C065</t>
  </si>
  <si>
    <t>10.23.150.20</t>
  </si>
  <si>
    <t>f8:2f:5b:05:07:2e</t>
  </si>
  <si>
    <t>eGauge103570</t>
  </si>
  <si>
    <t>TtC9Nw2h</t>
  </si>
  <si>
    <t>WH-XF033</t>
  </si>
  <si>
    <t>C066 / C067</t>
  </si>
  <si>
    <t>10.23.170.20</t>
  </si>
  <si>
    <t>f8:2f:5b:04:ef:36</t>
  </si>
  <si>
    <t>eGauge101609</t>
  </si>
  <si>
    <t>a5w9H9Sv</t>
  </si>
  <si>
    <t>WH-XF034</t>
  </si>
  <si>
    <t>C068 / C069</t>
  </si>
  <si>
    <t>10.24.160.20</t>
  </si>
  <si>
    <t>f8:2f:5b:05:07:3e</t>
  </si>
  <si>
    <t>eGauge103588</t>
  </si>
  <si>
    <t>sM6gZv4E</t>
  </si>
  <si>
    <t>WH-XF035</t>
  </si>
  <si>
    <t>C070 / C071</t>
  </si>
  <si>
    <t>10.24.180.20</t>
  </si>
  <si>
    <t>f8:2f:5b:05:08:42</t>
  </si>
  <si>
    <t>eGauge103582</t>
  </si>
  <si>
    <t>Du8N2Ng5</t>
  </si>
  <si>
    <t>WH-XF036</t>
  </si>
  <si>
    <t>C072 / C073</t>
  </si>
  <si>
    <t>10.21.190.20</t>
  </si>
  <si>
    <t>f8:2f:5b:04:d6:86</t>
  </si>
  <si>
    <t>eGauge103612</t>
  </si>
  <si>
    <t>Av3n9rLa</t>
  </si>
  <si>
    <t>WH-XF037</t>
  </si>
  <si>
    <t>C074 / C075</t>
  </si>
  <si>
    <t>10.21.200.20</t>
  </si>
  <si>
    <t>f8:2f:5b:05:06:ea</t>
  </si>
  <si>
    <t>eGauge103584</t>
  </si>
  <si>
    <t>eMhA2Vm5</t>
  </si>
  <si>
    <t>WH-XF038</t>
  </si>
  <si>
    <t>C076 / C077</t>
  </si>
  <si>
    <t>10.22.200.20</t>
  </si>
  <si>
    <t>f8:2f:5b:04:db:c2</t>
  </si>
  <si>
    <t>eGauge101650</t>
  </si>
  <si>
    <t>5EvA6z7B</t>
  </si>
  <si>
    <t>WH-XF039</t>
  </si>
  <si>
    <t>C078 / C079</t>
  </si>
  <si>
    <t>10.22.210.20</t>
  </si>
  <si>
    <t>f8:2f:5b:04:ef:12</t>
  </si>
  <si>
    <t>eGauge101605</t>
  </si>
  <si>
    <t>9a7o7Bt4</t>
  </si>
  <si>
    <t>WH-XF040</t>
  </si>
  <si>
    <t>C080 / C081</t>
  </si>
  <si>
    <t>10.22.240.20</t>
  </si>
  <si>
    <t>f8:2f:5b:05:06:de</t>
  </si>
  <si>
    <t>eGauge103596</t>
  </si>
  <si>
    <t>4d4Hk5Gi</t>
  </si>
  <si>
    <t>WH-XF041</t>
  </si>
  <si>
    <t>C082 / C083</t>
  </si>
  <si>
    <t>10.23.190.20</t>
  </si>
  <si>
    <t>f8:2f:5b:05:08:e6</t>
  </si>
  <si>
    <t>eGauge103580</t>
  </si>
  <si>
    <t>Vb8e3i4c</t>
  </si>
  <si>
    <t>WH-XF042</t>
  </si>
  <si>
    <t>C084 / C085</t>
  </si>
  <si>
    <t>10.23.220.20</t>
  </si>
  <si>
    <t>f8:2f:5b:05:06:0a</t>
  </si>
  <si>
    <t>eGauge103589</t>
  </si>
  <si>
    <t>C9v7uKiV</t>
  </si>
  <si>
    <t>WH-XF043</t>
  </si>
  <si>
    <t>C086 / C087</t>
  </si>
  <si>
    <t>10.23.230.20</t>
  </si>
  <si>
    <t>f8:2f:5b:03:6d:82</t>
  </si>
  <si>
    <t>eGauge76718</t>
  </si>
  <si>
    <t>y2c8BkZk</t>
  </si>
  <si>
    <t>WH-XF044</t>
  </si>
  <si>
    <t>C088 / C089</t>
  </si>
  <si>
    <t>10.24.240.20</t>
  </si>
  <si>
    <t>f8:2f:5b:03:6d:46</t>
  </si>
  <si>
    <t>eGauge76708</t>
  </si>
  <si>
    <t>b7r7N8P2</t>
  </si>
  <si>
    <t>WH-XF045</t>
  </si>
  <si>
    <t>C090 / C091</t>
  </si>
  <si>
    <t>10.25.10.21</t>
  </si>
  <si>
    <t>f8:2f:5b:03:6d:ea</t>
  </si>
  <si>
    <t>eGauge76692</t>
  </si>
  <si>
    <t>Vk7J8F8Y</t>
  </si>
  <si>
    <t>WH-XF046</t>
  </si>
  <si>
    <t>C092 / C093</t>
  </si>
  <si>
    <t>10.25.40.21</t>
  </si>
  <si>
    <t>f8:2f:5b:03:84:06</t>
  </si>
  <si>
    <t>eGauge76763</t>
  </si>
  <si>
    <t>bX2As8rR</t>
  </si>
  <si>
    <t>WH-XF047</t>
  </si>
  <si>
    <t>CT Sensor reading 585KW</t>
  </si>
  <si>
    <t>C094 / C095</t>
  </si>
  <si>
    <t>10.25.50.20</t>
  </si>
  <si>
    <t>f8:2f:5b:03:6c:f6</t>
  </si>
  <si>
    <t>eGauge76722</t>
  </si>
  <si>
    <t>u5pK2A8U</t>
  </si>
  <si>
    <t>WH-XF048</t>
  </si>
  <si>
    <t>C096 / C097</t>
  </si>
  <si>
    <t>10.25.80.21</t>
  </si>
  <si>
    <t>f8:2f:5b:03:84:10</t>
  </si>
  <si>
    <t>eGauge76773</t>
  </si>
  <si>
    <t>P2CfAu5d</t>
  </si>
  <si>
    <t>WH-XF049</t>
  </si>
  <si>
    <t>C098 / C099</t>
  </si>
  <si>
    <t>10.25.90.21</t>
  </si>
  <si>
    <t>f8:2f:5b:03:84:3e</t>
  </si>
  <si>
    <t>eGauge76765</t>
  </si>
  <si>
    <t>B2E6Ey9D</t>
  </si>
  <si>
    <t>WH-XF050</t>
  </si>
  <si>
    <t>C100 / C101</t>
  </si>
  <si>
    <t>10.25.120.21</t>
  </si>
  <si>
    <t>f8:2f:5b:03:69:1a</t>
  </si>
  <si>
    <t>eGauge76666</t>
  </si>
  <si>
    <t>gY8E9TcH</t>
  </si>
  <si>
    <t>WH-XF051</t>
  </si>
  <si>
    <t>C102 / C103</t>
  </si>
  <si>
    <t>10.25.130.20</t>
  </si>
  <si>
    <t>f8:2f:5b:03:69:0a</t>
  </si>
  <si>
    <t>eGauge76726</t>
  </si>
  <si>
    <t>wVfUo2d7</t>
  </si>
  <si>
    <t>WH-XF052</t>
  </si>
  <si>
    <t>C104 / C105</t>
  </si>
  <si>
    <t>10.25.160.21</t>
  </si>
  <si>
    <t>f8:2f:5b:02:fe:ee</t>
  </si>
  <si>
    <t>eGauge67288</t>
  </si>
  <si>
    <t>L5Ka9SzJ</t>
  </si>
  <si>
    <t>WH-XF053</t>
  </si>
  <si>
    <t>C106 / C107</t>
  </si>
  <si>
    <t>10.25.170.22</t>
  </si>
  <si>
    <t>f8:2f:5b:03:6d:36</t>
  </si>
  <si>
    <t>eGauge76698</t>
  </si>
  <si>
    <t>4C6P5T6S</t>
  </si>
  <si>
    <t>WH-XF054</t>
  </si>
  <si>
    <t>C108 / C109</t>
  </si>
  <si>
    <t>10.25.200.20</t>
  </si>
  <si>
    <t>f8:2f:5b:03:6d:2a</t>
  </si>
  <si>
    <t>eGauge76693</t>
  </si>
  <si>
    <t>eWh6N9w4</t>
  </si>
  <si>
    <t>WH-XF055</t>
  </si>
  <si>
    <t>C110 / C111</t>
  </si>
  <si>
    <t>10.25.210.21</t>
  </si>
  <si>
    <t>f8:2f:5b:03:6d:2e</t>
  </si>
  <si>
    <t>eGauge76690</t>
  </si>
  <si>
    <t>o5d6iHx9</t>
  </si>
  <si>
    <t>WH-XF056</t>
  </si>
  <si>
    <t>C112 / C113</t>
  </si>
  <si>
    <t>10.25.240.20</t>
  </si>
  <si>
    <t>f8:2f:5b:03:6d:56</t>
  </si>
  <si>
    <t>eGauge76689</t>
  </si>
  <si>
    <t>k9MaLj3A</t>
  </si>
  <si>
    <t>WH-XF057</t>
  </si>
  <si>
    <t>C114 / C115</t>
  </si>
  <si>
    <t>10.26.10.20</t>
  </si>
  <si>
    <t>f8:2f:5b:02:fe:f2</t>
  </si>
  <si>
    <t>eGauge67287</t>
  </si>
  <si>
    <t>7vWm2R7G</t>
  </si>
  <si>
    <t>WH-XF058</t>
  </si>
  <si>
    <t>C116 / C117</t>
  </si>
  <si>
    <t>10.26.40.20</t>
  </si>
  <si>
    <t>f8:2f:5b:03:5f:40</t>
  </si>
  <si>
    <t>eGauge76637</t>
  </si>
  <si>
    <t>h8sAr3k6</t>
  </si>
  <si>
    <t>WH-XF059</t>
  </si>
  <si>
    <t>C118 / C119</t>
  </si>
  <si>
    <t>10.26.50.20</t>
  </si>
  <si>
    <t>f8:2f:5b:03:84:02</t>
  </si>
  <si>
    <t>eGauge76790</t>
  </si>
  <si>
    <t>wS7M4h6F</t>
  </si>
  <si>
    <t>WH-XF060</t>
  </si>
  <si>
    <t>C120 / C121</t>
  </si>
  <si>
    <t>10.26.80.20</t>
  </si>
  <si>
    <t>f8:2f:5b:03:82:76</t>
  </si>
  <si>
    <t>eGauge76747</t>
  </si>
  <si>
    <t>w4P3oErF</t>
  </si>
  <si>
    <t>WH-XF061</t>
  </si>
  <si>
    <t>C122 / C123</t>
  </si>
  <si>
    <t>10.26.90.20</t>
  </si>
  <si>
    <t>f8:2f:5b:03:6d:9e</t>
  </si>
  <si>
    <t>eGauge76672</t>
  </si>
  <si>
    <t>g7SyF4dT</t>
  </si>
  <si>
    <t>WH-XF062</t>
  </si>
  <si>
    <t>C124 / C125</t>
  </si>
  <si>
    <t>10.26.120.20</t>
  </si>
  <si>
    <t>f8:2f:5b:03:6e:6a</t>
  </si>
  <si>
    <t>eGauge76667</t>
  </si>
  <si>
    <t>u9dLg3Z6</t>
  </si>
  <si>
    <t>WH-XF063</t>
  </si>
  <si>
    <t>C126 / C127</t>
  </si>
  <si>
    <t>10.26.130.20</t>
  </si>
  <si>
    <t>f8:2f:5b:03:6d:f6</t>
  </si>
  <si>
    <t>eGauge76685</t>
  </si>
  <si>
    <t>B7sFk5Yo</t>
  </si>
  <si>
    <t>WH-XF064</t>
  </si>
  <si>
    <t>C128 / C129</t>
  </si>
  <si>
    <t>10.26.160.23</t>
  </si>
  <si>
    <t>f8:2f:5b:03:6d:ca</t>
  </si>
  <si>
    <t>eGauge76671</t>
  </si>
  <si>
    <t>3h4P5a7M</t>
  </si>
  <si>
    <t>WH-XF065</t>
  </si>
  <si>
    <t>C130 / C131</t>
  </si>
  <si>
    <t>10.26.170.20</t>
  </si>
  <si>
    <t>f8:2f:5b:03:6e:52</t>
  </si>
  <si>
    <t>eGauge76665</t>
  </si>
  <si>
    <t>SuYoLgE4</t>
  </si>
  <si>
    <t>WH-XF066</t>
  </si>
  <si>
    <t>C132 / C133</t>
  </si>
  <si>
    <t>10.26.200.20</t>
  </si>
  <si>
    <t>f8:2f:5b:03:6d:1e</t>
  </si>
  <si>
    <t>eGauge76710</t>
  </si>
  <si>
    <t>NzFq4b9o</t>
  </si>
  <si>
    <t>WH-XF067</t>
  </si>
  <si>
    <t>C134 / C135</t>
  </si>
  <si>
    <t>10.26.210.20</t>
  </si>
  <si>
    <t>f8:2f:5b:03:69:5a</t>
  </si>
  <si>
    <t>eGauge76670</t>
  </si>
  <si>
    <t>Z9kR8Z7t</t>
  </si>
  <si>
    <t>WH-XF068</t>
  </si>
  <si>
    <t>C136 / C137</t>
  </si>
  <si>
    <t>10.26.240.20</t>
  </si>
  <si>
    <t>f8:2f:5b:03:69:42</t>
  </si>
  <si>
    <t>eGauge76664</t>
  </si>
  <si>
    <t>4Gh2D3Bk</t>
  </si>
  <si>
    <t>WH-XF069</t>
  </si>
  <si>
    <t>C138 / C139</t>
  </si>
  <si>
    <t>10.27.10.20</t>
  </si>
  <si>
    <t>f8:2f:5b:03:30:f2</t>
  </si>
  <si>
    <t>eGauge76735</t>
  </si>
  <si>
    <t>AuFr2S3H</t>
  </si>
  <si>
    <t>WH-XF070</t>
  </si>
  <si>
    <t>C140 / C141</t>
  </si>
  <si>
    <t>10.27.40.20</t>
  </si>
  <si>
    <t>f8:2f:5b:03:30:72</t>
  </si>
  <si>
    <t>eGauge76738</t>
  </si>
  <si>
    <t>F3oT4u4a</t>
  </si>
  <si>
    <t>WH-XF071</t>
  </si>
  <si>
    <t>C142 / C143</t>
  </si>
  <si>
    <t>10.27.50.20</t>
  </si>
  <si>
    <t>f8:2f:5b:03:6e:16</t>
  </si>
  <si>
    <t>eGauge76652</t>
  </si>
  <si>
    <t>7Y2s4pEu</t>
  </si>
  <si>
    <t>WH-XF072</t>
  </si>
  <si>
    <t>C144 / C145</t>
  </si>
  <si>
    <t>10.27.80.20</t>
  </si>
  <si>
    <t>f8:2f:5b:03:84:36</t>
  </si>
  <si>
    <t>eGauge76775</t>
  </si>
  <si>
    <t>5y7t3mHv</t>
  </si>
  <si>
    <t>WH-XF073</t>
  </si>
  <si>
    <t>C146 / C147</t>
  </si>
  <si>
    <t>10.27.90.20</t>
  </si>
  <si>
    <t>f8:2f:5b:03:6d:b2</t>
  </si>
  <si>
    <t>eGauge76712</t>
  </si>
  <si>
    <t>7YgJ8oNh</t>
  </si>
  <si>
    <t>WH-XF074</t>
  </si>
  <si>
    <t>C148 / C149</t>
  </si>
  <si>
    <t>10.27.120.20</t>
  </si>
  <si>
    <t>f8:2f:5b:03:84:1a</t>
  </si>
  <si>
    <t>eGauge76780</t>
  </si>
  <si>
    <t>3t8Pp5Si</t>
  </si>
  <si>
    <t>WH-XF075</t>
  </si>
  <si>
    <t>C150 / C151</t>
  </si>
  <si>
    <t>10.27.130.20</t>
  </si>
  <si>
    <t>f8:2f:5b:03:82:8a</t>
  </si>
  <si>
    <t>eGauge76740</t>
  </si>
  <si>
    <t>bEgA5A7b</t>
  </si>
  <si>
    <t>WH-XF076</t>
  </si>
  <si>
    <t>C152 / C153</t>
  </si>
  <si>
    <t>10.27.160.20</t>
  </si>
  <si>
    <t>f8:2f:5b:03:69:1e</t>
  </si>
  <si>
    <t>eGauge76731</t>
  </si>
  <si>
    <t>x4M8bWe3</t>
  </si>
  <si>
    <t>WH-XF077</t>
  </si>
  <si>
    <t>C154 / C155</t>
  </si>
  <si>
    <t>10.27.170.20</t>
  </si>
  <si>
    <t>f8:2f:5b:03:5a:1a</t>
  </si>
  <si>
    <t>eGauge76641</t>
  </si>
  <si>
    <t>Tz9kR4Co</t>
  </si>
  <si>
    <t>WH-XF078</t>
  </si>
  <si>
    <t>C156 / C157</t>
  </si>
  <si>
    <t>10.27.200.20</t>
  </si>
  <si>
    <t>f8:2f:5b:03:82:3a</t>
  </si>
  <si>
    <t>eGauge76751</t>
  </si>
  <si>
    <t>H5d8n3oK</t>
  </si>
  <si>
    <t>WH-XF079</t>
  </si>
  <si>
    <t>C158 / C159</t>
  </si>
  <si>
    <t>10.27.210.20</t>
  </si>
  <si>
    <t>f8:2f:5b:03:68:5a</t>
  </si>
  <si>
    <t>eGauge76647</t>
  </si>
  <si>
    <t>5M2Hy2r3</t>
  </si>
  <si>
    <t>WH-XF080</t>
  </si>
  <si>
    <t>C160 / C161</t>
  </si>
  <si>
    <t>10.27.240.20</t>
  </si>
  <si>
    <t>f8:2f:5b:03:09:3e</t>
  </si>
  <si>
    <t>eGauge67283</t>
  </si>
  <si>
    <t>qHvTfM9M</t>
  </si>
  <si>
    <t>WH-XF081</t>
  </si>
  <si>
    <t>C162 / C163</t>
  </si>
  <si>
    <t>10.28.10.21</t>
  </si>
  <si>
    <t>f8:2f:5b:03:6e:5e</t>
  </si>
  <si>
    <t>eGauge76656</t>
  </si>
  <si>
    <t>4SoY7dPr</t>
  </si>
  <si>
    <t>WH-XF082</t>
  </si>
  <si>
    <t>C164 / C165</t>
  </si>
  <si>
    <t>10.28.40.20</t>
  </si>
  <si>
    <t>f8:2f:5b:03:69:3a</t>
  </si>
  <si>
    <t>eGauge76663</t>
  </si>
  <si>
    <t>R3F5P3zC</t>
  </si>
  <si>
    <t>WH-XF083</t>
  </si>
  <si>
    <t>C166 / C167</t>
  </si>
  <si>
    <t>10.28.50.20</t>
  </si>
  <si>
    <t>f8:2f:5b:03:6e:0e</t>
  </si>
  <si>
    <t>eGauge76673</t>
  </si>
  <si>
    <t>m2rFz3Bg</t>
  </si>
  <si>
    <t>WH-XF084</t>
  </si>
  <si>
    <t>C168 / C169</t>
  </si>
  <si>
    <t>10.28.80.20</t>
  </si>
  <si>
    <t>f8:2f:5b:05:06:d2</t>
  </si>
  <si>
    <t>eGauge103594</t>
  </si>
  <si>
    <t>e3d5tRb9</t>
  </si>
  <si>
    <t>WH-XF085</t>
  </si>
  <si>
    <t>C170 / C171</t>
  </si>
  <si>
    <t>10.28.90.20</t>
  </si>
  <si>
    <t>f8:2f:5b:04:d7:26</t>
  </si>
  <si>
    <t>eGauge103606</t>
  </si>
  <si>
    <t>9Bi9S8wV</t>
  </si>
  <si>
    <t>WH-XF086</t>
  </si>
  <si>
    <t>CT Sensor reading 819KW</t>
  </si>
  <si>
    <t>C172 / C173</t>
  </si>
  <si>
    <t>10.28.120.21</t>
  </si>
  <si>
    <t>f8:2f:5b:05:06:d6</t>
  </si>
  <si>
    <t>eGauge103600</t>
  </si>
  <si>
    <t>k8h3tD9r</t>
  </si>
  <si>
    <t>WH-XF087</t>
  </si>
  <si>
    <t>C174 / C175</t>
  </si>
  <si>
    <t>10.28.130.20</t>
  </si>
  <si>
    <t>f8:2f:5b:05:06:42</t>
  </si>
  <si>
    <t>eGauge103590</t>
  </si>
  <si>
    <t>rEv3M9V5</t>
  </si>
  <si>
    <t>WH-XF088</t>
  </si>
  <si>
    <t>C176 / C177</t>
  </si>
  <si>
    <t>10.28.160.21</t>
  </si>
  <si>
    <t>f8:2f:5b:05:06:ce</t>
  </si>
  <si>
    <t>eGauge103597</t>
  </si>
  <si>
    <t>3Lh3bKi8</t>
  </si>
  <si>
    <t>WH-XF089</t>
  </si>
  <si>
    <t>C178 / C179</t>
  </si>
  <si>
    <t>10.28.170.20</t>
  </si>
  <si>
    <t>f8:2f:5b:04:f0:06</t>
  </si>
  <si>
    <t>eGauge101616</t>
  </si>
  <si>
    <t>UeA2gUkN</t>
  </si>
  <si>
    <t>WH-XF090</t>
  </si>
  <si>
    <t>C180 / C181</t>
  </si>
  <si>
    <t>10.28.200.21</t>
  </si>
  <si>
    <t>f8:2f:5b:04:d6:e6</t>
  </si>
  <si>
    <t>eGauge103607</t>
  </si>
  <si>
    <t>iGjB5wU6</t>
  </si>
  <si>
    <t>WH-XF091</t>
  </si>
  <si>
    <t>C182 / C183</t>
  </si>
  <si>
    <t>10.28.210.20</t>
  </si>
  <si>
    <t>f8:2f:5b:04:ef:d6</t>
  </si>
  <si>
    <t>eGauge101625</t>
  </si>
  <si>
    <t>2Dg7Mg2V</t>
  </si>
  <si>
    <t>WH-XF092</t>
  </si>
  <si>
    <t>C184 / C185</t>
  </si>
  <si>
    <t>10.28.240.22</t>
  </si>
  <si>
    <t>f8:2f:5b:04:ef:ee</t>
  </si>
  <si>
    <t>eGauge101623</t>
  </si>
  <si>
    <t>RuLgB5Mp</t>
  </si>
  <si>
    <t>WH-XF093</t>
  </si>
  <si>
    <t>Not in Use</t>
  </si>
  <si>
    <t>10.31.0.151</t>
  </si>
  <si>
    <t>f8:2f:5b:03:82:62</t>
  </si>
  <si>
    <t>eGauge76749</t>
  </si>
  <si>
    <t>MpEz6K3Y</t>
  </si>
  <si>
    <t>WH-XF095</t>
  </si>
  <si>
    <t>C189 / C190</t>
  </si>
  <si>
    <t>10.29.40.21</t>
  </si>
  <si>
    <t>f8:2f:5b:05:06:ca</t>
  </si>
  <si>
    <t>eGauge103598</t>
  </si>
  <si>
    <t>ZkX4fDbB</t>
  </si>
  <si>
    <t>WH-XF096</t>
  </si>
  <si>
    <t>C191 / C192</t>
  </si>
  <si>
    <t>10.29.50.21</t>
  </si>
  <si>
    <t>f8:2f:5b:05:05:8a</t>
  </si>
  <si>
    <t>eGauge103592</t>
  </si>
  <si>
    <t>n9q3iJ2L</t>
  </si>
  <si>
    <t>WH-XF097</t>
  </si>
  <si>
    <t>C193 / C194</t>
  </si>
  <si>
    <t>10.29.80.21</t>
  </si>
  <si>
    <t>f8:2f:5b:04:ef:fe</t>
  </si>
  <si>
    <t>eGauge101618</t>
  </si>
  <si>
    <t>6X7gW7p6</t>
  </si>
  <si>
    <t>WH-XF098</t>
  </si>
  <si>
    <t>C195 / C196</t>
  </si>
  <si>
    <t>10.29.90.22</t>
  </si>
  <si>
    <t>f8:2f:5b:04:db:e2</t>
  </si>
  <si>
    <t>eGauge101644</t>
  </si>
  <si>
    <t>Ci6F5dV4m</t>
  </si>
  <si>
    <t>WH-XF099</t>
  </si>
  <si>
    <t>C197 / C198</t>
  </si>
  <si>
    <t>10.29.120.21</t>
  </si>
  <si>
    <t>f8:2f:5b:04:d7:a6</t>
  </si>
  <si>
    <t>eGauge103601</t>
  </si>
  <si>
    <t>j9t6y4H9</t>
  </si>
  <si>
    <t>WH-XF100</t>
  </si>
  <si>
    <t>C199 / C200</t>
  </si>
  <si>
    <t>10.29.130.21</t>
  </si>
  <si>
    <t>f8:2f:5b:05:07:3a</t>
  </si>
  <si>
    <t>eGauge103595</t>
  </si>
  <si>
    <t>z9V5c3Aa</t>
  </si>
  <si>
    <t>WH-XF101</t>
  </si>
  <si>
    <t>C201 / C202</t>
  </si>
  <si>
    <t>10.29.160.21</t>
  </si>
  <si>
    <t>f8:2f:5b:05:07:06</t>
  </si>
  <si>
    <t>eGauge103599</t>
  </si>
  <si>
    <t>5V7n3b2H</t>
  </si>
  <si>
    <t>WH-XF102</t>
  </si>
  <si>
    <t>C203 / C204</t>
  </si>
  <si>
    <t>10.29.170.21</t>
  </si>
  <si>
    <t>f8:2f:5b:05:07:0a</t>
  </si>
  <si>
    <t>eGauge103593</t>
  </si>
  <si>
    <t>yBdG6C9t</t>
  </si>
  <si>
    <t>WH-XF103</t>
  </si>
  <si>
    <t>C205 / C206</t>
  </si>
  <si>
    <t>10.29.200.20</t>
  </si>
  <si>
    <t>f8:2f:5b:04:ef:da</t>
  </si>
  <si>
    <t>eGauge101624</t>
  </si>
  <si>
    <t>HnF3t3sR</t>
  </si>
  <si>
    <t>WH-XF104</t>
  </si>
  <si>
    <t>10.31.4.147</t>
  </si>
  <si>
    <t>f8:2f:5b:03:84:2a</t>
  </si>
  <si>
    <t>eGauge76770</t>
  </si>
  <si>
    <t>cSoAdGa8</t>
  </si>
  <si>
    <t>WH-XF106</t>
  </si>
  <si>
    <t>10.31.8.11</t>
  </si>
  <si>
    <t>f8:2f:5b:02:fe:12</t>
  </si>
  <si>
    <t>eGauge67281</t>
  </si>
  <si>
    <t>p3yRgPn2</t>
  </si>
  <si>
    <t>WH-XF107</t>
  </si>
  <si>
    <t>C211 / C212</t>
  </si>
  <si>
    <t>10.29.240.20</t>
  </si>
  <si>
    <t>f8:2f:5b:04:d7:62</t>
  </si>
  <si>
    <t>eGauge103615</t>
  </si>
  <si>
    <t>3L4M6A5c</t>
  </si>
  <si>
    <t>WH-XF108</t>
  </si>
  <si>
    <t>CT sensor reading 703KW</t>
  </si>
  <si>
    <t>C213 / C214</t>
  </si>
  <si>
    <t>10.30.10.20</t>
  </si>
  <si>
    <t>f8:2f:5b:04:d6:6a</t>
  </si>
  <si>
    <t>eGuage103608</t>
  </si>
  <si>
    <t>s3j4w9d3</t>
  </si>
  <si>
    <t>WH-XF109</t>
  </si>
  <si>
    <t>C215 / C216</t>
  </si>
  <si>
    <t>10.30.40.20</t>
  </si>
  <si>
    <t>f8:2f:5b:05:06:2a</t>
  </si>
  <si>
    <t>eGauge103591</t>
  </si>
  <si>
    <t>aS2g4VkD</t>
  </si>
  <si>
    <t>WH-XF110</t>
  </si>
  <si>
    <t>C217 / C218</t>
  </si>
  <si>
    <t>10.30.50.20</t>
  </si>
  <si>
    <t>f8:2f:5b:04:d6:ce</t>
  </si>
  <si>
    <t>eGauge103602</t>
  </si>
  <si>
    <t>C4E3WpPt</t>
  </si>
  <si>
    <t>WH-XF111</t>
  </si>
  <si>
    <t>C219 / C220</t>
  </si>
  <si>
    <t>10.30.80.20</t>
  </si>
  <si>
    <t>f8:2f:5b:04:ef:0a</t>
  </si>
  <si>
    <t>eGauge101606</t>
  </si>
  <si>
    <t>C3g9t2B4</t>
  </si>
  <si>
    <t>WH-XF112</t>
  </si>
  <si>
    <t>C221 / C222</t>
  </si>
  <si>
    <t>10.30.90.20</t>
  </si>
  <si>
    <t>f8:2f:5b:05:06:fa</t>
  </si>
  <si>
    <t>eGauge103578</t>
  </si>
  <si>
    <t>r2M6q5Lr</t>
  </si>
  <si>
    <t>WH-XF113</t>
  </si>
  <si>
    <t>10.31.12.150</t>
  </si>
  <si>
    <t>f8:2f:5b:03:6e:2e</t>
  </si>
  <si>
    <t>eGauge101637</t>
  </si>
  <si>
    <t>9s3gYo2J</t>
  </si>
  <si>
    <t>WH-XF114</t>
  </si>
  <si>
    <t>10.31.16.149</t>
  </si>
  <si>
    <t>f8:2f:5b:03:0a:ea</t>
  </si>
  <si>
    <t>eGauge67278</t>
  </si>
  <si>
    <t>wN8C8o3G</t>
  </si>
  <si>
    <t>WH-XF115</t>
  </si>
  <si>
    <t>10.10.2</t>
  </si>
  <si>
    <t>f8:2f:5b:03:84:7a</t>
  </si>
  <si>
    <t>eGauge76766</t>
  </si>
  <si>
    <t>5Y4B2s9E</t>
  </si>
  <si>
    <t>WH-XF116</t>
  </si>
  <si>
    <t>no power</t>
  </si>
  <si>
    <t>10.31.24.147</t>
  </si>
  <si>
    <t>f8:2f:5b:03:6d:26</t>
  </si>
  <si>
    <t>eGauge76704</t>
  </si>
  <si>
    <t>AjJk7v6c</t>
  </si>
  <si>
    <t>WH-XF117</t>
  </si>
  <si>
    <t>C227 / C228</t>
  </si>
  <si>
    <t>10.30.120.20</t>
  </si>
  <si>
    <t>f8:2f:5b:04:dd:f6</t>
  </si>
  <si>
    <t>eGauge101642</t>
  </si>
  <si>
    <t>W4kKdB5P</t>
  </si>
  <si>
    <t>WH-XF118</t>
  </si>
  <si>
    <t>C229 / C230</t>
  </si>
  <si>
    <t>10.30.130.20</t>
  </si>
  <si>
    <t>f8:2f:5b:03:6d:5e</t>
  </si>
  <si>
    <t>eGauge76720</t>
  </si>
  <si>
    <t>C4iN9P7U</t>
  </si>
  <si>
    <t>WH-XF119</t>
  </si>
  <si>
    <t>C231 / C232</t>
  </si>
  <si>
    <t>10.30.160.20</t>
  </si>
  <si>
    <t>f8:2f:5v:04:d7:16</t>
  </si>
  <si>
    <t>eGauge103603</t>
  </si>
  <si>
    <t>M2c2Kg3C</t>
  </si>
  <si>
    <t>WH-XF120</t>
  </si>
  <si>
    <t>C233 / C234</t>
  </si>
  <si>
    <t>10.30.170.20</t>
  </si>
  <si>
    <t>f8:2f:5b:04:ef:22</t>
  </si>
  <si>
    <t>eGauge101611</t>
  </si>
  <si>
    <t>RdSuBeR7</t>
  </si>
  <si>
    <t>WH-XF121</t>
  </si>
  <si>
    <t>C235 / C236</t>
  </si>
  <si>
    <t>10.30.200.20</t>
  </si>
  <si>
    <t>f8:2f:5b:04:d6:d6</t>
  </si>
  <si>
    <t>eGauge103605</t>
  </si>
  <si>
    <t>LcY6i6vT</t>
  </si>
  <si>
    <t>WH-XF122</t>
  </si>
  <si>
    <t>C237 / C238</t>
  </si>
  <si>
    <t>10.30.210.20</t>
  </si>
  <si>
    <t>f8:2f:5b:05:07:22</t>
  </si>
  <si>
    <t>eGauge103586</t>
  </si>
  <si>
    <t>e6W6u6W7</t>
  </si>
  <si>
    <t>WH-XF123</t>
  </si>
  <si>
    <t>10.31.28.155</t>
  </si>
  <si>
    <t>f8:2f:5b:03:6d:12</t>
  </si>
  <si>
    <t>eGauge76703</t>
  </si>
  <si>
    <t>hN7T7s6n</t>
  </si>
  <si>
    <t>WH-XF124</t>
  </si>
  <si>
    <t>10.31.32.10</t>
  </si>
  <si>
    <t>f8:2f:5b:03:84:5a</t>
  </si>
  <si>
    <t>eGauge76774</t>
  </si>
  <si>
    <t>9zB3a9q7</t>
  </si>
  <si>
    <t>WH-XF125</t>
  </si>
  <si>
    <t>10.31.36.148</t>
  </si>
  <si>
    <t>f8:2f:5b:03:69:06</t>
  </si>
  <si>
    <t>eGauge76732</t>
  </si>
  <si>
    <t>a4nL3D5r</t>
  </si>
  <si>
    <t>WH-XF126</t>
  </si>
  <si>
    <t>10.31.40.151</t>
  </si>
  <si>
    <t>f8:2f:5b:03:6e:42</t>
  </si>
  <si>
    <t>eGauge76638</t>
  </si>
  <si>
    <t>7T2Um9dC</t>
  </si>
  <si>
    <t>WH-XF127</t>
  </si>
  <si>
    <t>10.31.44.14</t>
  </si>
  <si>
    <t>f8:2f:5b:04:d7:8e</t>
  </si>
  <si>
    <t>eGauge103618</t>
  </si>
  <si>
    <t>yZ5G3Y6b</t>
  </si>
  <si>
    <t>WH-XF128</t>
  </si>
  <si>
    <t>10.31.48.12</t>
  </si>
  <si>
    <t>f8:2f:5b:04:d6:ca</t>
  </si>
  <si>
    <t>eGauge103609</t>
  </si>
  <si>
    <t>vR3sPkX5</t>
  </si>
  <si>
    <t>WH-XF129</t>
  </si>
  <si>
    <t>10.31.55.10</t>
  </si>
  <si>
    <t>f8:2f:5b:04:de:02</t>
  </si>
  <si>
    <t>eGauge101641</t>
  </si>
  <si>
    <t>9yDh7D7R</t>
  </si>
  <si>
    <t>WH-XF130</t>
  </si>
  <si>
    <t>10.31.60.150</t>
  </si>
  <si>
    <t>f8:2f:5b:04:ef:a6</t>
  </si>
  <si>
    <t>eGauge101627</t>
  </si>
  <si>
    <t>Ha7K9G2J</t>
  </si>
  <si>
    <t>WH-XF132</t>
  </si>
  <si>
    <t>10.31.64.10</t>
  </si>
  <si>
    <t>f8:2f:5b:04:db:b2</t>
  </si>
  <si>
    <t>eGauge101648</t>
  </si>
  <si>
    <t>D9p2nEqT</t>
  </si>
  <si>
    <t>WH-XF133</t>
  </si>
  <si>
    <t>10.31.68.185</t>
  </si>
  <si>
    <t>f8:2f:5b:04:f0:56</t>
  </si>
  <si>
    <t>eGauge101613</t>
  </si>
  <si>
    <t>kHqAa9P9</t>
  </si>
  <si>
    <t>WH-XF134</t>
  </si>
  <si>
    <t>10.31.72.151</t>
  </si>
  <si>
    <t>f8:2f:5b:03:81:b6</t>
  </si>
  <si>
    <t>eGauge76741</t>
  </si>
  <si>
    <t>hP6aBrMd</t>
  </si>
  <si>
    <t>WH-XF135</t>
  </si>
  <si>
    <t>CT sensor reading 672KW</t>
  </si>
  <si>
    <t>10.31.76.147</t>
  </si>
  <si>
    <t>f8:2f:5b:03:6e:22</t>
  </si>
  <si>
    <t>eGauge76651</t>
  </si>
  <si>
    <t>nK8J9JdS</t>
  </si>
  <si>
    <t>WH-XF136</t>
  </si>
  <si>
    <t>10.31.80.147</t>
  </si>
  <si>
    <t>f8:2f:5b:03:6d:fa</t>
  </si>
  <si>
    <t>eGauge76687</t>
  </si>
  <si>
    <t>cJj3U3V9</t>
  </si>
  <si>
    <t>WH-XF137</t>
  </si>
  <si>
    <t>10.31.84.146</t>
  </si>
  <si>
    <t>f8:2f:5b:04:d6:a6</t>
  </si>
  <si>
    <t>eGauge103613</t>
  </si>
  <si>
    <t>d9K2f5kB</t>
  </si>
  <si>
    <t>WH-XF138</t>
  </si>
  <si>
    <t>10.31.88.10</t>
  </si>
  <si>
    <t>f8:2f:5b:04:d7:a2</t>
  </si>
  <si>
    <t>eGauge103717</t>
  </si>
  <si>
    <t>c3h7H4H2</t>
  </si>
  <si>
    <t>WH-XF139</t>
  </si>
  <si>
    <t>10.31.92.10</t>
  </si>
  <si>
    <t>f8:2f:5b:04:df:3a</t>
  </si>
  <si>
    <t>eGauge101629</t>
  </si>
  <si>
    <t>R3Jh7p4o</t>
  </si>
  <si>
    <t>WH-XF140</t>
  </si>
  <si>
    <t>10.31.96.148</t>
  </si>
  <si>
    <t>f8:2f:5b:04:df:56</t>
  </si>
  <si>
    <t>eGauge101632</t>
  </si>
  <si>
    <t>Tc9Y2k8g</t>
  </si>
  <si>
    <t>WH-XF141</t>
  </si>
  <si>
    <t>CT Sensor reading 713KW</t>
  </si>
  <si>
    <t>10.31.100.164</t>
  </si>
  <si>
    <t>f8:2f:5b:04:db:de</t>
  </si>
  <si>
    <t>eGauge101638</t>
  </si>
  <si>
    <t>eN3zKdHu</t>
  </si>
  <si>
    <t>WH-XF142</t>
  </si>
  <si>
    <t>10.31.104.154</t>
  </si>
  <si>
    <t>f8:2f:5b:04:f0:16</t>
  </si>
  <si>
    <t>eGauge101614</t>
  </si>
  <si>
    <t>j4YmF5Zt</t>
  </si>
  <si>
    <t>WH-XF143</t>
  </si>
  <si>
    <t>10.31.108.186</t>
  </si>
  <si>
    <t>f8:2f:5b:04:ef:c2</t>
  </si>
  <si>
    <t>eGauge101626</t>
  </si>
  <si>
    <t>dY7jZ9Bm</t>
  </si>
  <si>
    <t>WH-XF144</t>
  </si>
  <si>
    <t>10.31.112.152</t>
  </si>
  <si>
    <t>f8:2f:5b:03:84:56</t>
  </si>
  <si>
    <t>eGauge76784</t>
  </si>
  <si>
    <t>w3W8w8v3</t>
  </si>
  <si>
    <t>WH-XF145</t>
  </si>
  <si>
    <t>10.31.116.146</t>
  </si>
  <si>
    <t>f8:2f:5b:03:84:2e</t>
  </si>
  <si>
    <t>eGauge76791</t>
  </si>
  <si>
    <t>k8t4r5u2</t>
  </si>
  <si>
    <t>WH-XF146</t>
  </si>
  <si>
    <t>10.31.120.149</t>
  </si>
  <si>
    <t>f8:2f:5b:03:83:fe</t>
  </si>
  <si>
    <t>eGauge76789</t>
  </si>
  <si>
    <t>CwDt4tKv</t>
  </si>
  <si>
    <t>WH-XF147</t>
  </si>
  <si>
    <t>10.31.124.148</t>
  </si>
  <si>
    <t>f8:2f:5b:04:ef:8e</t>
  </si>
  <si>
    <t>eGauge101620</t>
  </si>
  <si>
    <t>Uf8Cr5h3</t>
  </si>
  <si>
    <t>WH-XF148</t>
  </si>
  <si>
    <t>10.31.128.10</t>
  </si>
  <si>
    <t>f8:2f:5b:04:dd:f2</t>
  </si>
  <si>
    <t>eGauge101646</t>
  </si>
  <si>
    <t>3Z4Kn9C4</t>
  </si>
  <si>
    <t>WH-XF149</t>
  </si>
  <si>
    <t>10.31.132.10</t>
  </si>
  <si>
    <t>f8:2f:5b:04:db:ea</t>
  </si>
  <si>
    <t>eGauge101628</t>
  </si>
  <si>
    <t>n5tF2W8F</t>
  </si>
  <si>
    <t>WH-XF150</t>
  </si>
  <si>
    <t>10.31.136.44</t>
  </si>
  <si>
    <t>f8:2f:5b:04:ef:5a</t>
  </si>
  <si>
    <t>eGauge101604</t>
  </si>
  <si>
    <t>Ay3xB7K3</t>
  </si>
  <si>
    <t>WH-XF151</t>
  </si>
  <si>
    <t>10.31.140.152</t>
  </si>
  <si>
    <t>f8:2f:5b:04:df:4e</t>
  </si>
  <si>
    <t>eGauge101633</t>
  </si>
  <si>
    <t>3V2V4P5h</t>
  </si>
  <si>
    <t>WH-XF152</t>
  </si>
  <si>
    <t>10.31.144.150</t>
  </si>
  <si>
    <t>f8:2f:5b:04:ef:d2</t>
  </si>
  <si>
    <t>eGauge101621</t>
  </si>
  <si>
    <t>f2FdStF4</t>
  </si>
  <si>
    <t>WH-XF153</t>
  </si>
  <si>
    <t>10.31.148.152</t>
  </si>
  <si>
    <t>f8:2f:5b:04:de:06</t>
  </si>
  <si>
    <t>eGauge101643</t>
  </si>
  <si>
    <t>Mi8W5Z2D</t>
  </si>
  <si>
    <t>WH-XF154</t>
  </si>
  <si>
    <t>10.31.152.147</t>
  </si>
  <si>
    <t>f8:2f:5b:02:fe:c6</t>
  </si>
  <si>
    <t>eGauge67290</t>
  </si>
  <si>
    <t>Ax9UcAmD</t>
  </si>
  <si>
    <t>WH-XF155</t>
  </si>
  <si>
    <t>10.31.156.142</t>
  </si>
  <si>
    <t>f8:2f:5b:04:f0:6a</t>
  </si>
  <si>
    <t>eGauge101615</t>
  </si>
  <si>
    <t>m8oBbEe5</t>
  </si>
  <si>
    <t>WH-XF156</t>
  </si>
  <si>
    <t>10.31.160.10</t>
  </si>
  <si>
    <t>f8:2f:5b:04:f0:2a</t>
  </si>
  <si>
    <t>eGauge101612</t>
  </si>
  <si>
    <t>r3nHk3cK</t>
  </si>
  <si>
    <t>WH-XF157</t>
  </si>
  <si>
    <t>10.31.164.146</t>
  </si>
  <si>
    <t>f8:2f:5b:03:82:16</t>
  </si>
  <si>
    <t>eGauge76739</t>
  </si>
  <si>
    <t>Np7b9fSq</t>
  </si>
  <si>
    <t>WH-XF158</t>
  </si>
  <si>
    <t>10.31.168.123</t>
  </si>
  <si>
    <t>f8:2f:5b:04:db:e6</t>
  </si>
  <si>
    <t>eGauge101634</t>
  </si>
  <si>
    <t>z3XeT4iD</t>
  </si>
  <si>
    <t>WH-XF159</t>
  </si>
  <si>
    <t>10.31.172.158</t>
  </si>
  <si>
    <t>f8:2f:5b:03:6d:52</t>
  </si>
  <si>
    <t>eGauge76699</t>
  </si>
  <si>
    <t>5E7A8oK7</t>
  </si>
  <si>
    <t>WH-XF160</t>
  </si>
  <si>
    <t>10.31.176.148</t>
  </si>
  <si>
    <t>f8:2f:5b:04:dd:fa</t>
  </si>
  <si>
    <t>eGauge101640</t>
  </si>
  <si>
    <t>F5h2Ad6D</t>
  </si>
  <si>
    <t>WH-XF161</t>
  </si>
  <si>
    <t>10.31.180.149</t>
  </si>
  <si>
    <t>f8:2f:5b:04:dd:fe</t>
  </si>
  <si>
    <t>eGauge101631</t>
  </si>
  <si>
    <t>Cj7dU2oP</t>
  </si>
  <si>
    <t>WH-XF162</t>
  </si>
  <si>
    <t>10.31.184.150</t>
  </si>
  <si>
    <t>f8:2f:5b:03:83:9a</t>
  </si>
  <si>
    <t>eGauge76781</t>
  </si>
  <si>
    <t>3N4Eh7Yh</t>
  </si>
  <si>
    <t>WH-XF163</t>
  </si>
  <si>
    <t>10.31.188.147</t>
  </si>
  <si>
    <t>f8:2f:5b:04:d7:9e</t>
  </si>
  <si>
    <t>eGauge103610</t>
  </si>
  <si>
    <t>5aG9sN4t</t>
  </si>
  <si>
    <t>WH-XF164</t>
  </si>
  <si>
    <t>10.31.192.10</t>
  </si>
  <si>
    <t>f8:2f:5b:04:d6:a2</t>
  </si>
  <si>
    <t>eGauge103611</t>
  </si>
  <si>
    <t>c3s2u2Ry</t>
  </si>
  <si>
    <t>WH-XF165</t>
  </si>
  <si>
    <t>10.31.196.10</t>
  </si>
  <si>
    <t>f8:2f:5b:04:d7:72</t>
  </si>
  <si>
    <t>eGauge103619</t>
  </si>
  <si>
    <t>iHk7FcH4</t>
  </si>
  <si>
    <t>WH-XF166</t>
  </si>
  <si>
    <t>10.31.200.140</t>
  </si>
  <si>
    <t>f8:2f:5b:04:d7:82</t>
  </si>
  <si>
    <t>eGauge103620</t>
  </si>
  <si>
    <t>S5h5J7Ab</t>
  </si>
  <si>
    <t>WH-XF167</t>
  </si>
  <si>
    <t>10.31.204.162</t>
  </si>
  <si>
    <t>f8:2f:5b:04:db:ee</t>
  </si>
  <si>
    <t>eGauge101639</t>
  </si>
  <si>
    <t>hW9T4t7C</t>
  </si>
  <si>
    <t>WH-XF168</t>
  </si>
  <si>
    <t>10.31.208.157</t>
  </si>
  <si>
    <t>f8:2f:5b:04:ef:ba</t>
  </si>
  <si>
    <t>eGauge101622</t>
  </si>
  <si>
    <t>A8q7Px8N</t>
  </si>
  <si>
    <t>WH-XF169</t>
  </si>
  <si>
    <t>VLAN ID</t>
  </si>
  <si>
    <t>Purpose</t>
  </si>
  <si>
    <t>Netblock</t>
  </si>
  <si>
    <t>Gateway</t>
  </si>
  <si>
    <t>Size</t>
  </si>
  <si>
    <t>DHCP Range</t>
  </si>
  <si>
    <t>V1</t>
  </si>
  <si>
    <t>V2</t>
  </si>
  <si>
    <t>V3</t>
  </si>
  <si>
    <t>IP Ranges</t>
  </si>
  <si>
    <t>CN Internal</t>
  </si>
  <si>
    <t>SCADA</t>
  </si>
  <si>
    <t>10.10.0.0</t>
  </si>
  <si>
    <t>10.10.0.254</t>
  </si>
  <si>
    <t>/24</t>
  </si>
  <si>
    <t>.200-.225</t>
  </si>
  <si>
    <t>Antminer</t>
  </si>
  <si>
    <t>10.10.100.0</t>
  </si>
  <si>
    <t>.1-.250</t>
  </si>
  <si>
    <t>10.10.100.0-254</t>
  </si>
  <si>
    <t>10.10.101.0</t>
  </si>
  <si>
    <t>10.10.101.0-254</t>
  </si>
  <si>
    <t>Whatsminer</t>
  </si>
  <si>
    <t>10.10.104.0</t>
  </si>
  <si>
    <t>10.10.104.0-254</t>
  </si>
  <si>
    <t>10.10.105.0</t>
  </si>
  <si>
    <t>10.10.105.0-254</t>
  </si>
  <si>
    <t>10.10.106.0</t>
  </si>
  <si>
    <t>10.10.106.0-254</t>
  </si>
  <si>
    <t>10.10.111.0</t>
  </si>
  <si>
    <t>10.10.111.0-254</t>
  </si>
  <si>
    <t>10.10.112.0</t>
  </si>
  <si>
    <t>10.10.112.0-254</t>
  </si>
  <si>
    <t>10.10.9.0</t>
  </si>
  <si>
    <t>10.10.9.254</t>
  </si>
  <si>
    <t>10.10.10.0</t>
  </si>
  <si>
    <t>10.10.11.0</t>
  </si>
  <si>
    <t>10.10.12.0</t>
  </si>
  <si>
    <t>10.10.13.0</t>
  </si>
  <si>
    <t>10.10.14.0</t>
  </si>
  <si>
    <t>10.10.15.0</t>
  </si>
  <si>
    <t>10.10.16.0</t>
  </si>
  <si>
    <t>10.10.17.0</t>
  </si>
  <si>
    <t>10.10.18.0</t>
  </si>
  <si>
    <t>10.10.19.0</t>
  </si>
  <si>
    <t>10.10.20.0</t>
  </si>
  <si>
    <t>10.10.21.0</t>
  </si>
  <si>
    <t>10.10.22.0</t>
  </si>
  <si>
    <t>10.10.23.0</t>
  </si>
  <si>
    <t>10.10.24.0</t>
  </si>
  <si>
    <t>10.10.25.0</t>
  </si>
  <si>
    <t>10.10.26.0</t>
  </si>
  <si>
    <t>10.10.27.0</t>
  </si>
  <si>
    <t>10.10.28.0</t>
  </si>
  <si>
    <t>10.10.29.0</t>
  </si>
  <si>
    <t>10.10.30.0</t>
  </si>
  <si>
    <t>10.10.255.0</t>
  </si>
  <si>
    <t>No DHCP pool?</t>
  </si>
  <si>
    <t>10.11.0.0</t>
  </si>
  <si>
    <t>10.11.0.254</t>
  </si>
  <si>
    <t>10.11.1.0</t>
  </si>
  <si>
    <t>10.11.2.0</t>
  </si>
  <si>
    <t>10.11.3.0</t>
  </si>
  <si>
    <t>10.11.4.0</t>
  </si>
  <si>
    <t>10.11.5.0</t>
  </si>
  <si>
    <t>10.11.6.0</t>
  </si>
  <si>
    <t>10.11.7.0</t>
  </si>
  <si>
    <t>10.11.8.0</t>
  </si>
  <si>
    <t>10.11.9.0</t>
  </si>
  <si>
    <t>10.11.10.0</t>
  </si>
  <si>
    <t>10.11.11.0</t>
  </si>
  <si>
    <t>10.11.12.0</t>
  </si>
  <si>
    <t>10.11.13.0</t>
  </si>
  <si>
    <t>10.11.14.0</t>
  </si>
  <si>
    <t>10.11.15.0</t>
  </si>
  <si>
    <t>10.11.16.0</t>
  </si>
  <si>
    <t>10.11.17.0</t>
  </si>
  <si>
    <t>10.11.18.0</t>
  </si>
  <si>
    <t>10.11.19.0</t>
  </si>
  <si>
    <t>10.11.20.0</t>
  </si>
  <si>
    <t>10.11.21.0</t>
  </si>
  <si>
    <t>10.11.22.0</t>
  </si>
  <si>
    <t>10.11.23.0</t>
  </si>
  <si>
    <t>10.11.24.0</t>
  </si>
  <si>
    <t>10.11.25.0</t>
  </si>
  <si>
    <t>10.11.26.0</t>
  </si>
  <si>
    <t>10.11.27.0</t>
  </si>
  <si>
    <t>10.11.28.0</t>
  </si>
  <si>
    <t>10.11.29.0</t>
  </si>
  <si>
    <t>10.11.30.0</t>
  </si>
  <si>
    <t>10.11.31.0</t>
  </si>
  <si>
    <t>10.11.32.0</t>
  </si>
  <si>
    <t>10.11.33.0</t>
  </si>
  <si>
    <t>10.11.34.0</t>
  </si>
  <si>
    <t>10.11.35.0</t>
  </si>
  <si>
    <t>10.11.36.0</t>
  </si>
  <si>
    <t>10.11.37.0</t>
  </si>
  <si>
    <t>10.11.38.0</t>
  </si>
  <si>
    <t>10.10.113.0</t>
  </si>
  <si>
    <t>10.10.114.0</t>
  </si>
  <si>
    <t>10.10.115.0</t>
  </si>
  <si>
    <t>10.11.40.0</t>
  </si>
  <si>
    <t>10.10.117.0</t>
  </si>
  <si>
    <t>10.11.41.0</t>
  </si>
  <si>
    <t>10.10.128.0</t>
  </si>
  <si>
    <t>10.11.42.0</t>
  </si>
  <si>
    <t>10.10.129.0</t>
  </si>
  <si>
    <t>10.11.43.0</t>
  </si>
  <si>
    <t>10.10.130.0</t>
  </si>
  <si>
    <t>10.11.44.0</t>
  </si>
  <si>
    <t>10.10.131.0</t>
  </si>
  <si>
    <t>10.11.45.0</t>
  </si>
  <si>
    <t>10.10.132.0</t>
  </si>
  <si>
    <t>10.11.46.0</t>
  </si>
  <si>
    <t>C259 / C262</t>
  </si>
  <si>
    <t>10.10.133.0</t>
  </si>
  <si>
    <t>10.11.47.0</t>
  </si>
  <si>
    <t>10.10.134.0</t>
  </si>
  <si>
    <t>10.11.48.0</t>
  </si>
  <si>
    <t>10.10.135.0</t>
  </si>
  <si>
    <t>10.11.49.0</t>
  </si>
  <si>
    <t>10.10.136.0</t>
  </si>
  <si>
    <t>10.11.50.0</t>
  </si>
  <si>
    <t>10.10.137.0</t>
  </si>
  <si>
    <t>10.11.51.0</t>
  </si>
  <si>
    <t>10.10.138.0</t>
  </si>
  <si>
    <t>10.11.52.0</t>
  </si>
  <si>
    <t>10.10.139.0</t>
  </si>
  <si>
    <t>10.11.53.0</t>
  </si>
  <si>
    <t>10.10.140.0</t>
  </si>
  <si>
    <t>10.11.54.0</t>
  </si>
  <si>
    <t>10.10.141.0</t>
  </si>
  <si>
    <t>10.11.55.0</t>
  </si>
  <si>
    <t>10.10.142.0</t>
  </si>
  <si>
    <t>10.11.56.0</t>
  </si>
  <si>
    <t>C250 / C253</t>
  </si>
  <si>
    <t>10.10.143.0</t>
  </si>
  <si>
    <t>10.11.57.0</t>
  </si>
  <si>
    <t>10.10.147.0</t>
  </si>
  <si>
    <t>10.11.58.0</t>
  </si>
  <si>
    <t>10.10.156.0</t>
  </si>
  <si>
    <t>10.11.59.0</t>
  </si>
  <si>
    <t>10.10.157.0</t>
  </si>
  <si>
    <t>10.11.60.0</t>
  </si>
  <si>
    <t>C240 / C249</t>
  </si>
  <si>
    <t>10.10.158.0</t>
  </si>
  <si>
    <t>10.11.61.0</t>
  </si>
  <si>
    <t>10.10.159.0</t>
  </si>
  <si>
    <t>10.11.62.0</t>
  </si>
  <si>
    <t>10.10.160.0</t>
  </si>
  <si>
    <t>10.11.63.0</t>
  </si>
  <si>
    <t>10.11.64.0</t>
  </si>
  <si>
    <t>10.11.65.0</t>
  </si>
  <si>
    <t>10.11.66.0</t>
  </si>
  <si>
    <t>10.11.67.0</t>
  </si>
  <si>
    <t>10.11.68.0</t>
  </si>
  <si>
    <t>10.11.69.0</t>
  </si>
  <si>
    <t>10.11.70.0</t>
  </si>
  <si>
    <t>10.11.71.0</t>
  </si>
  <si>
    <t>10.11.72.0</t>
  </si>
  <si>
    <t>10.11.73.0</t>
  </si>
  <si>
    <t>10.11.74.0</t>
  </si>
  <si>
    <t>10.11.75.0</t>
  </si>
  <si>
    <t>10.11.76.0</t>
  </si>
  <si>
    <t>10.11.77.0</t>
  </si>
  <si>
    <t>10.11.78.0</t>
  </si>
  <si>
    <t>10.11.79.0</t>
  </si>
  <si>
    <t>10.11.80.0</t>
  </si>
  <si>
    <t>10.11.81.0</t>
  </si>
  <si>
    <t>10.11.82.0</t>
  </si>
  <si>
    <t>10.11.83.0</t>
  </si>
  <si>
    <t>10.11.84.0</t>
  </si>
  <si>
    <t>10.11.85.0</t>
  </si>
  <si>
    <t>10.11.86.0</t>
  </si>
  <si>
    <t>10.11.87.0</t>
  </si>
  <si>
    <t>10.11.88.0</t>
  </si>
  <si>
    <t>10.11.89.0</t>
  </si>
  <si>
    <t>10.11.90.0</t>
  </si>
  <si>
    <t>10.x.1.0</t>
  </si>
  <si>
    <t>10.x.2.0</t>
  </si>
  <si>
    <t>10.x.3.0</t>
  </si>
  <si>
    <t>10.x.4.0</t>
  </si>
  <si>
    <t>10.x.5.0</t>
  </si>
  <si>
    <t>10.x.6.0</t>
  </si>
  <si>
    <t>10.x.7.0</t>
  </si>
  <si>
    <t>10.x.8.0</t>
  </si>
  <si>
    <t>10.11.91.0</t>
  </si>
  <si>
    <t>10.11.92.0</t>
  </si>
  <si>
    <t>Antminer KS3</t>
  </si>
  <si>
    <t>10.10.163.0</t>
  </si>
  <si>
    <t>10.10.164.0</t>
  </si>
  <si>
    <t>10.10.165.0</t>
  </si>
  <si>
    <t>10.10.166.0</t>
  </si>
  <si>
    <t>10.10.167.0</t>
  </si>
  <si>
    <t>10.10.168.0</t>
  </si>
  <si>
    <t>10.10.169.0</t>
  </si>
  <si>
    <t>10.10.170.0</t>
  </si>
  <si>
    <t>10.10.171.0</t>
  </si>
  <si>
    <t>10.10.172.0</t>
  </si>
  <si>
    <t>10.11.96.0</t>
  </si>
  <si>
    <t>10.10.173.0</t>
  </si>
  <si>
    <t>10.11.97.0</t>
  </si>
  <si>
    <t>10.10.179.0</t>
  </si>
  <si>
    <t>10.11.98.0</t>
  </si>
  <si>
    <t>10.10.180.0</t>
  </si>
  <si>
    <t>10.11.99.0</t>
  </si>
  <si>
    <t>10.10.181.0</t>
  </si>
  <si>
    <t>10.11.100.0</t>
  </si>
  <si>
    <t>10.10.182.0</t>
  </si>
  <si>
    <t>10.11.101.0</t>
  </si>
  <si>
    <t>10.10.183.0</t>
  </si>
  <si>
    <t>10.11.102.0</t>
  </si>
  <si>
    <t>10.10.184.0</t>
  </si>
  <si>
    <t>10.11.103.0</t>
  </si>
  <si>
    <t>10.10.185.0</t>
  </si>
  <si>
    <t>10.11.104.0</t>
  </si>
  <si>
    <t>10.10.186.0</t>
  </si>
  <si>
    <t>10.11.105.0</t>
  </si>
  <si>
    <t>10.10.187.0</t>
  </si>
  <si>
    <t>10.11.106.0</t>
  </si>
  <si>
    <t>10.10.189.0</t>
  </si>
  <si>
    <t>10.11.107.0</t>
  </si>
  <si>
    <t>10.11.108.0</t>
  </si>
  <si>
    <t>10.11.109.0</t>
  </si>
  <si>
    <t>10.11.110.0</t>
  </si>
  <si>
    <t>10.10.190.0</t>
  </si>
  <si>
    <t>10.10.191.0</t>
  </si>
  <si>
    <t>10.10.75.0</t>
  </si>
  <si>
    <t>10.10.198.0</t>
  </si>
  <si>
    <t>10.10.199.0</t>
  </si>
  <si>
    <t>Service WiFi</t>
  </si>
  <si>
    <t>10.10.2.0</t>
  </si>
  <si>
    <t>10.10.2.254</t>
  </si>
  <si>
    <t>.10-.99</t>
  </si>
  <si>
    <t>10.10.207.0</t>
  </si>
  <si>
    <t>10.10.208.0</t>
  </si>
  <si>
    <t>10.10.209.0</t>
  </si>
  <si>
    <t>Guest WiFi</t>
  </si>
  <si>
    <t>10.10.3.0</t>
  </si>
  <si>
    <t>10.10.3.254</t>
  </si>
  <si>
    <t>10.10.31.0</t>
  </si>
  <si>
    <t>10.10.32.0</t>
  </si>
  <si>
    <t>10.11.115.0</t>
  </si>
  <si>
    <t>C279 / C280</t>
  </si>
  <si>
    <t>10.10.33.0</t>
  </si>
  <si>
    <t>10.10.34.0</t>
  </si>
  <si>
    <t>C280 / C281</t>
  </si>
  <si>
    <t>10.10.35.0</t>
  </si>
  <si>
    <t>10.10.36.0</t>
  </si>
  <si>
    <t>10.10.37.0</t>
  </si>
  <si>
    <t>10.10.38.0</t>
  </si>
  <si>
    <t>10.10.39.0</t>
  </si>
  <si>
    <t>Management</t>
  </si>
  <si>
    <t>10.10.4.0</t>
  </si>
  <si>
    <t>10.10.4.254</t>
  </si>
  <si>
    <t>10.10.86.0</t>
  </si>
  <si>
    <t>10.10.40.0</t>
  </si>
  <si>
    <t>10.11.119.0</t>
  </si>
  <si>
    <t>10.10.87.0</t>
  </si>
  <si>
    <t>10.11.120.0</t>
  </si>
  <si>
    <t>10.10.88.0</t>
  </si>
  <si>
    <t>10.11.121.0</t>
  </si>
  <si>
    <t>10.10.89.0</t>
  </si>
  <si>
    <t>10.10.41.0</t>
  </si>
  <si>
    <t>C283 / C284</t>
  </si>
  <si>
    <t>10.10.42.0</t>
  </si>
  <si>
    <t>10.10.90.0</t>
  </si>
  <si>
    <t>10.10.43.0</t>
  </si>
  <si>
    <t>10.10.44.0</t>
  </si>
  <si>
    <t>10.10.45.0</t>
  </si>
  <si>
    <t>10.10.91.0</t>
  </si>
  <si>
    <t>10.10.46.0</t>
  </si>
  <si>
    <t>C271 / C272</t>
  </si>
  <si>
    <t>10.10.47.0</t>
  </si>
  <si>
    <t>10.10.48.0</t>
  </si>
  <si>
    <t>10.10.92.0</t>
  </si>
  <si>
    <t>C272 / C273</t>
  </si>
  <si>
    <t>10.10.49.0</t>
  </si>
  <si>
    <t>Service WiFi 2</t>
  </si>
  <si>
    <t>10.10.5.0</t>
  </si>
  <si>
    <t>10.10.5.254</t>
  </si>
  <si>
    <t>10.10.50.0</t>
  </si>
  <si>
    <t>10.10.51.0</t>
  </si>
  <si>
    <t>10.10.52.0</t>
  </si>
  <si>
    <t>10.10.53.0</t>
  </si>
  <si>
    <t>C274 / C275</t>
  </si>
  <si>
    <t>10.10.54.0</t>
  </si>
  <si>
    <t>10.10.102.0</t>
  </si>
  <si>
    <t>10.10.107.0</t>
  </si>
  <si>
    <t>10.11.127.0</t>
  </si>
  <si>
    <t>10.10.103.0</t>
  </si>
  <si>
    <t>10.10.108.0</t>
  </si>
  <si>
    <t>10.11.128.0</t>
  </si>
  <si>
    <t>10.10.109.0</t>
  </si>
  <si>
    <t>10.11.129.0</t>
  </si>
  <si>
    <t>10.10.110.0</t>
  </si>
  <si>
    <t>10.11.130.0</t>
  </si>
  <si>
    <t>10.10.55.0</t>
  </si>
  <si>
    <t>C275 / C276</t>
  </si>
  <si>
    <t>10.10.56.0</t>
  </si>
  <si>
    <t>10.10.57.0</t>
  </si>
  <si>
    <t>10.10.58.0</t>
  </si>
  <si>
    <t>10.10.59.0</t>
  </si>
  <si>
    <t>Security VLAN</t>
  </si>
  <si>
    <t>10.10.6.0</t>
  </si>
  <si>
    <t>10.10.6.254</t>
  </si>
  <si>
    <t>10.10.60.0</t>
  </si>
  <si>
    <t>C277 / C278</t>
  </si>
  <si>
    <t>10.10.61.0</t>
  </si>
  <si>
    <t>10.10.62.0</t>
  </si>
  <si>
    <t>10.10.116.0</t>
  </si>
  <si>
    <t>10.10.118.0</t>
  </si>
  <si>
    <t>10.11.134.0</t>
  </si>
  <si>
    <t>10.10.119.0</t>
  </si>
  <si>
    <t>10.11.135.0</t>
  </si>
  <si>
    <t>10.10.120.0</t>
  </si>
  <si>
    <t>10.11.136.0</t>
  </si>
  <si>
    <t>10.10.121.0</t>
  </si>
  <si>
    <t>10.11.137.0</t>
  </si>
  <si>
    <t>10.10.122.0</t>
  </si>
  <si>
    <t>10.11.138.0</t>
  </si>
  <si>
    <t>10.10.123.0</t>
  </si>
  <si>
    <t>10.11.139.0</t>
  </si>
  <si>
    <t>10.10.124.0</t>
  </si>
  <si>
    <t>10.11.140.0</t>
  </si>
  <si>
    <t>10.10.125.0</t>
  </si>
  <si>
    <t>10.11.141.0</t>
  </si>
  <si>
    <t>10.10.126.0</t>
  </si>
  <si>
    <t>10.11.142.0</t>
  </si>
  <si>
    <t>10.10.127.0</t>
  </si>
  <si>
    <t>10.11.143.0</t>
  </si>
  <si>
    <t>C269 / C278</t>
  </si>
  <si>
    <t>10.10.63.0</t>
  </si>
  <si>
    <t>10.11.144.0</t>
  </si>
  <si>
    <t>10.10.64.0</t>
  </si>
  <si>
    <t>10.11.145.0</t>
  </si>
  <si>
    <t>10.10.65.0</t>
  </si>
  <si>
    <t>10.11.146.0</t>
  </si>
  <si>
    <t>10.10.66.0</t>
  </si>
  <si>
    <t>10.11.147.0</t>
  </si>
  <si>
    <t>10.10.67.0</t>
  </si>
  <si>
    <t>10.11.148.0</t>
  </si>
  <si>
    <t>10.10.68.0</t>
  </si>
  <si>
    <t>10.11.149.0</t>
  </si>
  <si>
    <t>10.10.69.0</t>
  </si>
  <si>
    <t>10.11.150.0</t>
  </si>
  <si>
    <t>Miner Testing VLAN</t>
  </si>
  <si>
    <t>10.10.7.0</t>
  </si>
  <si>
    <t>10.10.7.254</t>
  </si>
  <si>
    <t>10.11.151.0</t>
  </si>
  <si>
    <t>10.10.70.0</t>
  </si>
  <si>
    <t>10.11.152.0</t>
  </si>
  <si>
    <t>10.10.71.0</t>
  </si>
  <si>
    <t>10.11.153.0</t>
  </si>
  <si>
    <t>10.10.72.0</t>
  </si>
  <si>
    <t>10.11.154.0</t>
  </si>
  <si>
    <t>10.10.73.0</t>
  </si>
  <si>
    <t>10.11.155.0</t>
  </si>
  <si>
    <t>10.10.74.0</t>
  </si>
  <si>
    <t>10.11.156.0</t>
  </si>
  <si>
    <t>10.10.76.0</t>
  </si>
  <si>
    <t>10.11.157.0</t>
  </si>
  <si>
    <t>10.10.77.0</t>
  </si>
  <si>
    <t>10.11.158.0</t>
  </si>
  <si>
    <t>C254 / C266</t>
  </si>
  <si>
    <t>10.10.78.0</t>
  </si>
  <si>
    <t>10.11.159.0</t>
  </si>
  <si>
    <t>10.10.144.0</t>
  </si>
  <si>
    <t>10.11.160.0</t>
  </si>
  <si>
    <t>10.10.145.0</t>
  </si>
  <si>
    <t>10.11.161.0</t>
  </si>
  <si>
    <t>10.10.146.0</t>
  </si>
  <si>
    <t>10.11.162.0</t>
  </si>
  <si>
    <t>10.10.79.0</t>
  </si>
  <si>
    <t>10.11.163.0</t>
  </si>
  <si>
    <t>10.10.148.0</t>
  </si>
  <si>
    <t>10.11.164.0</t>
  </si>
  <si>
    <t>10.10.149.0</t>
  </si>
  <si>
    <t>10.11.165.0</t>
  </si>
  <si>
    <t>10.10.150.0</t>
  </si>
  <si>
    <t>10.11.166.0</t>
  </si>
  <si>
    <t>10.10.151.0</t>
  </si>
  <si>
    <t>10.11.167.0</t>
  </si>
  <si>
    <t>10.10.152.0</t>
  </si>
  <si>
    <t>10.11.168.0</t>
  </si>
  <si>
    <t>10.10.153.0</t>
  </si>
  <si>
    <t>10.11.169.0</t>
  </si>
  <si>
    <t>10.10.154.0</t>
  </si>
  <si>
    <t>10.11.170.0</t>
  </si>
  <si>
    <t>10.10.155.0</t>
  </si>
  <si>
    <t>10.11.171.0</t>
  </si>
  <si>
    <t>Substation</t>
  </si>
  <si>
    <t>10.10.8.0</t>
  </si>
  <si>
    <t>10.10.8.254</t>
  </si>
  <si>
    <t>10.11.172.0</t>
  </si>
  <si>
    <t>10.10.80.0</t>
  </si>
  <si>
    <t>10.11.173.0</t>
  </si>
  <si>
    <t>10.10.81.0</t>
  </si>
  <si>
    <t>10.11.174.0</t>
  </si>
  <si>
    <t>10.10.82.0</t>
  </si>
  <si>
    <t>10.11.175.0</t>
  </si>
  <si>
    <t>10.10.83.0</t>
  </si>
  <si>
    <t>10.11.176.0</t>
  </si>
  <si>
    <t>10.10.161.0</t>
  </si>
  <si>
    <t>10.11.177.0</t>
  </si>
  <si>
    <t>10.10.162.0</t>
  </si>
  <si>
    <t>10.11.178.0</t>
  </si>
  <si>
    <t>10.10.84.0</t>
  </si>
  <si>
    <t>10.11.179.0</t>
  </si>
  <si>
    <t>C255 / C256</t>
  </si>
  <si>
    <t>10.10.85.0</t>
  </si>
  <si>
    <t>10.11.180.0</t>
  </si>
  <si>
    <t>10.10.93.0</t>
  </si>
  <si>
    <t>10.11.181.0</t>
  </si>
  <si>
    <t>10.10.94.0</t>
  </si>
  <si>
    <t>10.11.182.0</t>
  </si>
  <si>
    <t>10.10.95.0</t>
  </si>
  <si>
    <t>10.11.183.0</t>
  </si>
  <si>
    <t>10.10.96.0</t>
  </si>
  <si>
    <t>10.11.184.0</t>
  </si>
  <si>
    <t>10.10.97.0</t>
  </si>
  <si>
    <t>10.11.185.0</t>
  </si>
  <si>
    <t>10.10.98.0</t>
  </si>
  <si>
    <t>10.11.186.0</t>
  </si>
  <si>
    <t>10.10.99.0</t>
  </si>
  <si>
    <t>10.11.187.0</t>
  </si>
  <si>
    <t>10.11.111.0</t>
  </si>
  <si>
    <t>10.11.188.0</t>
  </si>
  <si>
    <t>10.11.112.0</t>
  </si>
  <si>
    <t>10.11.189.0</t>
  </si>
  <si>
    <t>10.10.174.0</t>
  </si>
  <si>
    <t>10.11.190.0</t>
  </si>
  <si>
    <t>10.10.175.0</t>
  </si>
  <si>
    <t>10.11.191.0</t>
  </si>
  <si>
    <t>10.10.176.0</t>
  </si>
  <si>
    <t>10.11.192.0</t>
  </si>
  <si>
    <t>10.10.177.0</t>
  </si>
  <si>
    <t>10.11.193.0</t>
  </si>
  <si>
    <t>10.10.178.0</t>
  </si>
  <si>
    <t>10.11.194.0</t>
  </si>
  <si>
    <t>10.11.113.0</t>
  </si>
  <si>
    <t>10.11.195.0</t>
  </si>
  <si>
    <t>10.11.114.0</t>
  </si>
  <si>
    <t>10.11.196.0</t>
  </si>
  <si>
    <t>10.11.116.0</t>
  </si>
  <si>
    <t>10.11.197.0</t>
  </si>
  <si>
    <t>10.11.117.0</t>
  </si>
  <si>
    <t>10.11.198.0</t>
  </si>
  <si>
    <t>10.11.118.0</t>
  </si>
  <si>
    <t>10.11.199.0</t>
  </si>
  <si>
    <t>10.11.122.0</t>
  </si>
  <si>
    <t>10.11.200.0</t>
  </si>
  <si>
    <t>10.11.123.0</t>
  </si>
  <si>
    <t>10.11.201.0</t>
  </si>
  <si>
    <t>C223 / C242</t>
  </si>
  <si>
    <t>10.11.124.0</t>
  </si>
  <si>
    <t>10.11.202.0</t>
  </si>
  <si>
    <t>10.11.125.0</t>
  </si>
  <si>
    <t>10.11.203.0</t>
  </si>
  <si>
    <t>10.10.188.0</t>
  </si>
  <si>
    <t>10.11.204.0</t>
  </si>
  <si>
    <t>10.11.126.0</t>
  </si>
  <si>
    <t>10.11.205.0</t>
  </si>
  <si>
    <t>10.11.131.0</t>
  </si>
  <si>
    <t>10.11.206.0</t>
  </si>
  <si>
    <t>10.11.132.0</t>
  </si>
  <si>
    <t>10.11.207.0</t>
  </si>
  <si>
    <t>10.10.192.0</t>
  </si>
  <si>
    <t>10.11.208.0</t>
  </si>
  <si>
    <t>10.10.193.0</t>
  </si>
  <si>
    <t>10.11.209.0</t>
  </si>
  <si>
    <t>10.10.194.0</t>
  </si>
  <si>
    <t>10.11.210.0</t>
  </si>
  <si>
    <t>10.10.195.0</t>
  </si>
  <si>
    <t>10.11.211.0</t>
  </si>
  <si>
    <t>10.10.196.0</t>
  </si>
  <si>
    <t>10.11.212.0</t>
  </si>
  <si>
    <t>10.10.197.0</t>
  </si>
  <si>
    <t>10.11.213.0</t>
  </si>
  <si>
    <t>10.11.133.0</t>
  </si>
  <si>
    <t>10.11.214.0</t>
  </si>
  <si>
    <t>10.11.39.0</t>
  </si>
  <si>
    <t>10.11.215.0</t>
  </si>
  <si>
    <t>10.10.200.0</t>
  </si>
  <si>
    <t>10.11.216.0</t>
  </si>
  <si>
    <t>10.10.201.0</t>
  </si>
  <si>
    <t>10.11.217.0</t>
  </si>
  <si>
    <t>10.10.202.0</t>
  </si>
  <si>
    <t>10.11.218.0</t>
  </si>
  <si>
    <t>10.10.203.0</t>
  </si>
  <si>
    <t>10.11.219.0</t>
  </si>
  <si>
    <t>10.10.204.0</t>
  </si>
  <si>
    <t>10.11.220.0</t>
  </si>
  <si>
    <t>10.10.205.0</t>
  </si>
  <si>
    <t>10.11.221.0</t>
  </si>
  <si>
    <t>10.10.206.0</t>
  </si>
  <si>
    <t>10.11.222.0</t>
  </si>
  <si>
    <t>10.11.93.0</t>
  </si>
  <si>
    <t>10.11.223.0</t>
  </si>
  <si>
    <t>10.11.94.0</t>
  </si>
  <si>
    <t>10.11.224.0</t>
  </si>
  <si>
    <t>10.11.95.0</t>
  </si>
  <si>
    <t>10.11.225.0</t>
  </si>
  <si>
    <t>10.10.210.0</t>
  </si>
  <si>
    <t>10.11.226.0</t>
  </si>
  <si>
    <t>10.10.211.0</t>
  </si>
  <si>
    <t>10.11.227.0</t>
  </si>
  <si>
    <t>10.10.212.0</t>
  </si>
  <si>
    <t>10.11.228.0</t>
  </si>
  <si>
    <t>10.10.213.0</t>
  </si>
  <si>
    <t>10.11.229.0</t>
  </si>
  <si>
    <t>10.10.214.0</t>
  </si>
  <si>
    <t>10.11.230.0</t>
  </si>
  <si>
    <t>10.10.215.0</t>
  </si>
  <si>
    <t>10.11.231.0</t>
  </si>
  <si>
    <t>10.10.216.0</t>
  </si>
  <si>
    <t>10.11.232.0</t>
  </si>
  <si>
    <t>10.10.217.0</t>
  </si>
  <si>
    <t>10.11.233.0</t>
  </si>
  <si>
    <t>10.10.218.0</t>
  </si>
  <si>
    <t>10.11.234.0</t>
  </si>
  <si>
    <t>10.10.219.0</t>
  </si>
  <si>
    <t>10.11.235.0</t>
  </si>
  <si>
    <t>10.10.220.0</t>
  </si>
  <si>
    <t>10.11.236.0</t>
  </si>
  <si>
    <t>10.10.221.0</t>
  </si>
  <si>
    <t>10.11.237.0</t>
  </si>
  <si>
    <t>10.10.222.0</t>
  </si>
  <si>
    <t>10.11.238.0</t>
  </si>
  <si>
    <t>10.10.223.0</t>
  </si>
  <si>
    <t>10.11.239.0</t>
  </si>
  <si>
    <t>10.10.224.0</t>
  </si>
  <si>
    <t>10.11.240.0</t>
  </si>
  <si>
    <t>10.10.225.0</t>
  </si>
  <si>
    <t>10.11.241.0</t>
  </si>
  <si>
    <t>10.10.226.0</t>
  </si>
  <si>
    <t>10.11.242.0</t>
  </si>
  <si>
    <t>10.10.227.0</t>
  </si>
  <si>
    <t>10.11.243.0</t>
  </si>
  <si>
    <t>10.10.228.0</t>
  </si>
  <si>
    <t>10.11.244.0</t>
  </si>
  <si>
    <t>10.10.229.0</t>
  </si>
  <si>
    <t>10.11.245.0</t>
  </si>
  <si>
    <t>10.10.230.0</t>
  </si>
  <si>
    <t>10.11.246.0</t>
  </si>
  <si>
    <t>10.10.231.0</t>
  </si>
  <si>
    <t>10.11.247.0</t>
  </si>
  <si>
    <t>10.10.232.0</t>
  </si>
  <si>
    <t>10.11.248.0</t>
  </si>
  <si>
    <t>10.10.233.0</t>
  </si>
  <si>
    <t>10.11.249.0</t>
  </si>
  <si>
    <t>10.10.234.0</t>
  </si>
  <si>
    <t>10.11.250.0</t>
  </si>
  <si>
    <t>10.10.235.0</t>
  </si>
  <si>
    <t>10.11.251.0</t>
  </si>
  <si>
    <t>10.10.236.0</t>
  </si>
  <si>
    <t>10.11.252.0</t>
  </si>
  <si>
    <t>10.10.237.0</t>
  </si>
  <si>
    <t>10.11.253.0</t>
  </si>
  <si>
    <t>10.10.238.0</t>
  </si>
  <si>
    <t>10.11.254.0</t>
  </si>
  <si>
    <t>10.10.239.0</t>
  </si>
  <si>
    <t>10.10.240.0</t>
  </si>
  <si>
    <t>10.10.241.0</t>
  </si>
  <si>
    <t>10.10.242.0</t>
  </si>
  <si>
    <t>10.10.243.0</t>
  </si>
  <si>
    <t>10.10.244.0</t>
  </si>
  <si>
    <t>10.10.245.0</t>
  </si>
  <si>
    <t>10.10.246.0</t>
  </si>
  <si>
    <t>10.10.247.0</t>
  </si>
  <si>
    <t>10.10.248.0</t>
  </si>
  <si>
    <t>10.10.249.0</t>
  </si>
  <si>
    <t>10.10.250.0</t>
  </si>
  <si>
    <t>10.10.251.0</t>
  </si>
  <si>
    <t>10.10.252.0</t>
  </si>
  <si>
    <t>10.10.253.0</t>
  </si>
  <si>
    <t>10.10.254.0</t>
  </si>
  <si>
    <t>10.11.255.0</t>
  </si>
  <si>
    <t>COUNTA of Container</t>
  </si>
  <si>
    <t>3 Days</t>
  </si>
  <si>
    <t>CB - Open Disconnect</t>
  </si>
  <si>
    <t>1 Day</t>
  </si>
  <si>
    <t>Constellation Switchgear</t>
  </si>
  <si>
    <t>CB</t>
  </si>
  <si>
    <t>MDC #</t>
  </si>
  <si>
    <t>Customer</t>
  </si>
  <si>
    <t>Substation Breaker Name (CN)</t>
  </si>
  <si>
    <t>Anticipated Outage Date</t>
  </si>
  <si>
    <t>US Bitcoin Corp</t>
  </si>
  <si>
    <t>Compass Mining</t>
  </si>
  <si>
    <t>Marathon Patent Group, Inc</t>
  </si>
  <si>
    <t>Sphere 3D</t>
  </si>
  <si>
    <t>Integrated Ventures</t>
  </si>
  <si>
    <t>Touzi Capital</t>
  </si>
  <si>
    <t>Us Bitcoin Corp</t>
  </si>
  <si>
    <t>Decimal / Integrated Ventures</t>
  </si>
  <si>
    <t>Foundry</t>
  </si>
  <si>
    <t>Issue</t>
  </si>
  <si>
    <t>VLAN &gt; 255</t>
  </si>
  <si>
    <t>Ideal Hashrate (TH)</t>
  </si>
  <si>
    <t>Sticker Efficiency (W/TH)</t>
  </si>
  <si>
    <t>Power Consumption (W)</t>
  </si>
  <si>
    <t>Antminer S19 (86T)</t>
  </si>
  <si>
    <t>Antminer S19 (90T)</t>
  </si>
  <si>
    <t>Antminer S19 (95T)</t>
  </si>
  <si>
    <t>Antminer S19 Pro (105T)</t>
  </si>
  <si>
    <t>Antminer S19 Pro (110T)</t>
  </si>
  <si>
    <t>Antminer S19j Pro (100T)</t>
  </si>
  <si>
    <t>Antminer S19j Pro (104T)</t>
  </si>
  <si>
    <t>Antminer S19j Pro (88T)</t>
  </si>
  <si>
    <t>Antminer S19j Pro (92T)</t>
  </si>
  <si>
    <t>Antminer S19j Pro (96T)</t>
  </si>
  <si>
    <t>Antminer S19XP (134T)</t>
  </si>
  <si>
    <t>Antminer S19XP (141T)</t>
  </si>
  <si>
    <t>Whatsminer M30S (82T)</t>
  </si>
  <si>
    <t>Whatsminer M30S (84T)</t>
  </si>
  <si>
    <t>Whatsminer M30S (86T)</t>
  </si>
  <si>
    <t>Whatsminer M30S (88T)</t>
  </si>
  <si>
    <t>Whatsminer M30S (90T)</t>
  </si>
  <si>
    <t>Whatsminer M30S (92T)</t>
  </si>
  <si>
    <t>Whatsminer M30S (94T)</t>
  </si>
  <si>
    <t>Whatsminer M30S+ (100T)</t>
  </si>
  <si>
    <t>Whatsminer M30S+ (102T)</t>
  </si>
  <si>
    <t>Whatsminer M30S+ (104T)</t>
  </si>
  <si>
    <t>Whatsminer M30S+ (96T)</t>
  </si>
  <si>
    <t>Whatsminer M30S+ (98T)</t>
  </si>
  <si>
    <t>Whatsminer M30S++ (104T)</t>
  </si>
  <si>
    <t>Whatsminer M30S++ (106T)</t>
  </si>
  <si>
    <t>Whatsminer M30S++ (108T)</t>
  </si>
  <si>
    <t>Whatsminer M30S++ (110T)</t>
  </si>
  <si>
    <t>Whatsminer M31S (74T)</t>
  </si>
  <si>
    <t>Date</t>
  </si>
  <si>
    <t>Energize</t>
  </si>
  <si>
    <t>Total Energized</t>
  </si>
  <si>
    <t>Delivery</t>
  </si>
  <si>
    <t>Total Delivered</t>
  </si>
  <si>
    <t>Labor</t>
  </si>
  <si>
    <t>Hours</t>
  </si>
  <si>
    <t>Minutes</t>
  </si>
  <si>
    <t>Unboxing</t>
  </si>
  <si>
    <t>Loading</t>
  </si>
  <si>
    <t>Days/ Week</t>
  </si>
  <si>
    <t>Hours/ Day</t>
  </si>
  <si>
    <t>Hours/ Week</t>
  </si>
  <si>
    <t>Week/ Worker</t>
  </si>
  <si>
    <t>Day/ Worker</t>
  </si>
  <si>
    <t>Unboxed</t>
  </si>
  <si>
    <t xml:space="preserve">Loaded </t>
  </si>
  <si>
    <t>Employee Max</t>
  </si>
  <si>
    <t>Firm</t>
  </si>
  <si>
    <t>Acres</t>
  </si>
  <si>
    <t>Total Cost</t>
  </si>
  <si>
    <t>Price per Acre</t>
  </si>
  <si>
    <t>Pierce Land Clearing</t>
  </si>
  <si>
    <t>Lozoya</t>
  </si>
  <si>
    <t>Williams Paving</t>
  </si>
  <si>
    <t>2,500 - 3,000</t>
  </si>
  <si>
    <t>Phase 1 Cost</t>
  </si>
  <si>
    <t>Land Clearing Cost</t>
  </si>
  <si>
    <t>Beyond</t>
  </si>
  <si>
    <t>TBD</t>
  </si>
  <si>
    <t>Terracon</t>
  </si>
  <si>
    <t>Miners/Unit</t>
  </si>
  <si>
    <t>MW/Unit</t>
  </si>
  <si>
    <t>MW/Unit (M30s)</t>
  </si>
  <si>
    <t>$/Unit</t>
  </si>
  <si>
    <t>$/MW</t>
  </si>
  <si>
    <t>$/MW (M30s)</t>
  </si>
  <si>
    <t>Site</t>
  </si>
  <si>
    <t>Tessarack</t>
  </si>
  <si>
    <t>Megawatts</t>
  </si>
  <si>
    <t>M30s</t>
  </si>
  <si>
    <t>Watts</t>
  </si>
  <si>
    <t>MW Limit</t>
  </si>
  <si>
    <t>Units</t>
  </si>
  <si>
    <t>Total Spots</t>
  </si>
  <si>
    <t>Total MW (M30s)</t>
  </si>
  <si>
    <t xml:space="preserve"> Container</t>
  </si>
  <si>
    <t>Total $</t>
  </si>
  <si>
    <t>$/Miner</t>
  </si>
  <si>
    <t>Underutilization</t>
  </si>
  <si>
    <t>MW Utilization</t>
  </si>
  <si>
    <t>Active Miners</t>
  </si>
  <si>
    <t xml:space="preserve"> Site</t>
  </si>
  <si>
    <t>$</t>
  </si>
  <si>
    <t>Miners</t>
  </si>
  <si>
    <t>$/Additional</t>
  </si>
  <si>
    <t>Assumptions:</t>
  </si>
  <si>
    <t>1. Leaving an RK vacant is preferred to leaving a Tessarack vacant</t>
  </si>
  <si>
    <t>2. Only cost is that of the containers. Cost of transformer could be added to $/Unit</t>
  </si>
  <si>
    <t>Difference</t>
  </si>
  <si>
    <t>Risk Level</t>
  </si>
  <si>
    <t>High</t>
  </si>
  <si>
    <t>Medium</t>
  </si>
  <si>
    <t>ST1121-353957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</si>
</sst>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0000"/>
    <numFmt numFmtId="165" formatCode="&quot;$&quot;#,##0.00"/>
    <numFmt numFmtId="166" formatCode="&quot;$&quot;#,##0"/>
    <numFmt numFmtId="167" formatCode="m/d"/>
    <numFmt numFmtId="168" formatCode="0.000000"/>
    <numFmt numFmtId="169" formatCode="_(&quot;$&quot;* #,##0_);_(&quot;$&quot;* \(#,##0\);_(&quot;$&quot;* &quot;-&quot;??_);_(@_)"/>
    <numFmt numFmtId="170" formatCode="#,##0;\(#,##0\)"/>
  </numFmts>
  <fonts count="3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  <scheme val="minor"/>
    </font>
    <font>
      <i/>
      <sz val="11"/>
      <color rgb="FF000000"/>
      <name val="&quot;Superhuman Adelle Email&quot;"/>
    </font>
    <font>
      <b/>
      <sz val="10"/>
      <color theme="1"/>
      <name val="Arial"/>
      <family val="2"/>
      <scheme val="minor"/>
    </font>
    <font>
      <sz val="10"/>
      <color rgb="FF4285F4"/>
      <name val="Arial"/>
      <family val="2"/>
      <scheme val="minor"/>
    </font>
    <font>
      <b/>
      <strike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theme="1"/>
      <name val="&quot;Times New Roman&quot;"/>
    </font>
    <font>
      <sz val="10"/>
      <color theme="1"/>
      <name val="&quot;Times New Roman&quot;"/>
    </font>
    <font>
      <sz val="10"/>
      <color rgb="FF4285F4"/>
      <name val="Arial"/>
      <family val="2"/>
    </font>
    <font>
      <b/>
      <sz val="12"/>
      <color theme="1"/>
      <name val="Arial"/>
      <family val="2"/>
    </font>
    <font>
      <sz val="10"/>
      <color theme="4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rgb="FF006100"/>
      <name val="Arial"/>
      <family val="2"/>
      <scheme val="minor"/>
    </font>
    <font>
      <sz val="8"/>
      <name val="Arial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B69F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indexed="64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1" fillId="21" borderId="0" applyNumberFormat="0" applyBorder="0" applyAlignment="0" applyProtection="0"/>
  </cellStyleXfs>
  <cellXfs count="26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44" fontId="1" fillId="0" borderId="0" xfId="0" applyNumberFormat="1" applyFont="1"/>
    <xf numFmtId="0" fontId="9" fillId="0" borderId="0" xfId="0" applyFont="1"/>
    <xf numFmtId="44" fontId="6" fillId="0" borderId="0" xfId="0" applyNumberFormat="1" applyFont="1" applyAlignment="1">
      <alignment horizontal="right"/>
    </xf>
    <xf numFmtId="10" fontId="10" fillId="0" borderId="0" xfId="0" applyNumberFormat="1" applyFont="1"/>
    <xf numFmtId="0" fontId="4" fillId="0" borderId="0" xfId="0" applyFont="1"/>
    <xf numFmtId="0" fontId="1" fillId="0" borderId="0" xfId="0" applyFont="1"/>
    <xf numFmtId="44" fontId="1" fillId="0" borderId="0" xfId="0" applyNumberFormat="1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11" fillId="0" borderId="0" xfId="0" applyFont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4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4" fontId="4" fillId="6" borderId="15" xfId="0" applyNumberFormat="1" applyFont="1" applyFill="1" applyBorder="1" applyAlignment="1">
      <alignment vertical="center"/>
    </xf>
    <xf numFmtId="0" fontId="1" fillId="6" borderId="0" xfId="0" applyFont="1" applyFill="1" applyAlignment="1">
      <alignment horizontal="right" vertical="center"/>
    </xf>
    <xf numFmtId="3" fontId="1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/>
    </xf>
    <xf numFmtId="14" fontId="12" fillId="7" borderId="18" xfId="0" applyNumberFormat="1" applyFont="1" applyFill="1" applyBorder="1" applyAlignment="1">
      <alignment horizontal="center"/>
    </xf>
    <xf numFmtId="0" fontId="5" fillId="6" borderId="0" xfId="0" applyFont="1" applyFill="1" applyAlignment="1">
      <alignment vertic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2" fillId="0" borderId="0" xfId="0" applyFont="1" applyAlignment="1">
      <alignment horizontal="left"/>
    </xf>
    <xf numFmtId="167" fontId="4" fillId="0" borderId="0" xfId="0" applyNumberFormat="1" applyFont="1"/>
    <xf numFmtId="0" fontId="4" fillId="0" borderId="25" xfId="0" applyFont="1" applyBorder="1"/>
    <xf numFmtId="3" fontId="4" fillId="0" borderId="0" xfId="0" applyNumberFormat="1" applyFont="1"/>
    <xf numFmtId="168" fontId="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7" fillId="0" borderId="0" xfId="0" applyFont="1"/>
    <xf numFmtId="0" fontId="17" fillId="0" borderId="24" xfId="0" applyFont="1" applyBorder="1"/>
    <xf numFmtId="0" fontId="17" fillId="0" borderId="24" xfId="0" applyFont="1" applyBorder="1" applyAlignment="1">
      <alignment horizontal="center"/>
    </xf>
    <xf numFmtId="166" fontId="17" fillId="0" borderId="24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9" fillId="3" borderId="24" xfId="0" applyFont="1" applyFill="1" applyBorder="1"/>
    <xf numFmtId="0" fontId="18" fillId="0" borderId="0" xfId="0" applyFont="1"/>
    <xf numFmtId="2" fontId="4" fillId="0" borderId="0" xfId="0" applyNumberFormat="1" applyFont="1"/>
    <xf numFmtId="169" fontId="18" fillId="0" borderId="0" xfId="0" applyNumberFormat="1" applyFont="1"/>
    <xf numFmtId="169" fontId="4" fillId="0" borderId="0" xfId="0" applyNumberFormat="1" applyFont="1"/>
    <xf numFmtId="0" fontId="10" fillId="0" borderId="0" xfId="0" applyFont="1"/>
    <xf numFmtId="169" fontId="10" fillId="0" borderId="0" xfId="0" applyNumberFormat="1" applyFont="1"/>
    <xf numFmtId="166" fontId="4" fillId="0" borderId="0" xfId="0" applyNumberFormat="1" applyFont="1"/>
    <xf numFmtId="2" fontId="4" fillId="0" borderId="24" xfId="0" applyNumberFormat="1" applyFont="1" applyBorder="1"/>
    <xf numFmtId="166" fontId="4" fillId="0" borderId="24" xfId="0" applyNumberFormat="1" applyFont="1" applyBorder="1"/>
    <xf numFmtId="165" fontId="4" fillId="0" borderId="24" xfId="0" applyNumberFormat="1" applyFont="1" applyBorder="1"/>
    <xf numFmtId="2" fontId="4" fillId="0" borderId="25" xfId="0" applyNumberFormat="1" applyFont="1" applyBorder="1"/>
    <xf numFmtId="166" fontId="9" fillId="0" borderId="0" xfId="0" applyNumberFormat="1" applyFont="1"/>
    <xf numFmtId="1" fontId="4" fillId="0" borderId="0" xfId="0" applyNumberFormat="1" applyFont="1"/>
    <xf numFmtId="1" fontId="4" fillId="0" borderId="25" xfId="0" applyNumberFormat="1" applyFont="1" applyBorder="1"/>
    <xf numFmtId="2" fontId="9" fillId="3" borderId="24" xfId="0" applyNumberFormat="1" applyFont="1" applyFill="1" applyBorder="1"/>
    <xf numFmtId="166" fontId="9" fillId="3" borderId="24" xfId="0" applyNumberFormat="1" applyFont="1" applyFill="1" applyBorder="1"/>
    <xf numFmtId="0" fontId="4" fillId="5" borderId="0" xfId="0" applyFont="1" applyFill="1"/>
    <xf numFmtId="166" fontId="9" fillId="3" borderId="0" xfId="0" applyNumberFormat="1" applyFont="1" applyFill="1"/>
    <xf numFmtId="0" fontId="9" fillId="3" borderId="0" xfId="0" applyFont="1" applyFill="1"/>
    <xf numFmtId="166" fontId="4" fillId="0" borderId="25" xfId="0" applyNumberFormat="1" applyFont="1" applyBorder="1"/>
    <xf numFmtId="165" fontId="4" fillId="0" borderId="25" xfId="0" applyNumberFormat="1" applyFont="1" applyBorder="1"/>
    <xf numFmtId="44" fontId="4" fillId="0" borderId="25" xfId="0" applyNumberFormat="1" applyFont="1" applyBorder="1"/>
    <xf numFmtId="170" fontId="4" fillId="0" borderId="25" xfId="0" applyNumberFormat="1" applyFont="1" applyBorder="1"/>
    <xf numFmtId="169" fontId="4" fillId="0" borderId="25" xfId="0" applyNumberFormat="1" applyFont="1" applyBorder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20" fillId="0" borderId="27" xfId="0" applyFont="1" applyBorder="1" applyAlignment="1">
      <alignment vertical="center"/>
    </xf>
    <xf numFmtId="0" fontId="20" fillId="0" borderId="27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17" fontId="0" fillId="10" borderId="0" xfId="0" applyNumberFormat="1" applyFill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9" borderId="0" xfId="0" applyFill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4" fontId="28" fillId="20" borderId="11" xfId="0" applyNumberFormat="1" applyFont="1" applyFill="1" applyBorder="1" applyAlignment="1">
      <alignment horizontal="center" vertical="center"/>
    </xf>
    <xf numFmtId="0" fontId="30" fillId="20" borderId="7" xfId="0" applyFont="1" applyFill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20" borderId="7" xfId="0" applyFont="1" applyFill="1" applyBorder="1" applyAlignment="1">
      <alignment horizontal="center" vertical="center"/>
    </xf>
    <xf numFmtId="0" fontId="28" fillId="20" borderId="10" xfId="0" applyFont="1" applyFill="1" applyBorder="1" applyAlignment="1">
      <alignment horizontal="left" vertical="center"/>
    </xf>
    <xf numFmtId="0" fontId="28" fillId="20" borderId="0" xfId="0" applyFont="1" applyFill="1"/>
    <xf numFmtId="0" fontId="28" fillId="0" borderId="0" xfId="0" applyFont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0" fillId="18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0" fontId="23" fillId="19" borderId="0" xfId="0" applyFont="1" applyFill="1" applyAlignment="1">
      <alignment vertical="center"/>
    </xf>
    <xf numFmtId="0" fontId="23" fillId="18" borderId="0" xfId="0" applyFont="1" applyFill="1" applyAlignment="1">
      <alignment horizontal="center" vertical="center"/>
    </xf>
    <xf numFmtId="0" fontId="12" fillId="6" borderId="31" xfId="0" applyFont="1" applyFill="1" applyBorder="1" applyAlignment="1">
      <alignment horizontal="left" vertical="center"/>
    </xf>
    <xf numFmtId="0" fontId="0" fillId="12" borderId="0" xfId="0" quotePrefix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20" borderId="7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8" fillId="20" borderId="12" xfId="0" applyFont="1" applyFill="1" applyBorder="1" applyAlignment="1">
      <alignment horizontal="center" vertical="center"/>
    </xf>
    <xf numFmtId="0" fontId="29" fillId="20" borderId="8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8" fillId="20" borderId="8" xfId="0" applyFont="1" applyFill="1" applyBorder="1" applyAlignment="1">
      <alignment horizontal="center" vertical="center"/>
    </xf>
    <xf numFmtId="0" fontId="30" fillId="20" borderId="29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/>
    </xf>
    <xf numFmtId="2" fontId="30" fillId="20" borderId="7" xfId="0" applyNumberFormat="1" applyFont="1" applyFill="1" applyBorder="1" applyAlignment="1">
      <alignment horizontal="center" vertical="center"/>
    </xf>
    <xf numFmtId="2" fontId="5" fillId="6" borderId="15" xfId="0" applyNumberFormat="1" applyFont="1" applyFill="1" applyBorder="1" applyAlignment="1">
      <alignment vertical="center"/>
    </xf>
    <xf numFmtId="2" fontId="0" fillId="0" borderId="0" xfId="0" applyNumberFormat="1"/>
    <xf numFmtId="0" fontId="24" fillId="12" borderId="0" xfId="0" quotePrefix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0" fillId="20" borderId="32" xfId="0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31" fillId="0" borderId="0" xfId="1" applyFill="1" applyAlignment="1">
      <alignment vertical="center"/>
    </xf>
    <xf numFmtId="0" fontId="31" fillId="0" borderId="0" xfId="1" applyFill="1"/>
    <xf numFmtId="0" fontId="31" fillId="0" borderId="0" xfId="1" applyFill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0" xfId="0" applyFont="1"/>
    <xf numFmtId="0" fontId="24" fillId="0" borderId="32" xfId="0" applyFont="1" applyBorder="1" applyAlignment="1">
      <alignment horizontal="center"/>
    </xf>
    <xf numFmtId="0" fontId="24" fillId="0" borderId="32" xfId="0" applyFont="1" applyBorder="1" applyAlignment="1">
      <alignment horizontal="center" wrapText="1"/>
    </xf>
    <xf numFmtId="0" fontId="24" fillId="0" borderId="34" xfId="0" applyFont="1" applyBorder="1" applyAlignment="1">
      <alignment horizontal="center" wrapText="1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22" borderId="32" xfId="0" applyFill="1" applyBorder="1" applyAlignment="1">
      <alignment horizontal="center" vertical="center"/>
    </xf>
    <xf numFmtId="0" fontId="24" fillId="22" borderId="32" xfId="0" applyFont="1" applyFill="1" applyBorder="1" applyAlignment="1">
      <alignment horizontal="center" vertical="center"/>
    </xf>
    <xf numFmtId="0" fontId="24" fillId="22" borderId="34" xfId="0" applyFont="1" applyFill="1" applyBorder="1" applyAlignment="1">
      <alignment horizontal="center" vertical="center"/>
    </xf>
    <xf numFmtId="0" fontId="0" fillId="22" borderId="3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ill="1"/>
    <xf numFmtId="0" fontId="0" fillId="10" borderId="32" xfId="0" applyFill="1" applyBorder="1" applyAlignment="1">
      <alignment horizontal="center" vertical="center"/>
    </xf>
    <xf numFmtId="0" fontId="24" fillId="10" borderId="32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 vertical="center"/>
    </xf>
    <xf numFmtId="0" fontId="0" fillId="10" borderId="3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34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24" fillId="16" borderId="32" xfId="0" applyFont="1" applyFill="1" applyBorder="1" applyAlignment="1">
      <alignment horizontal="center" vertical="center"/>
    </xf>
    <xf numFmtId="0" fontId="0" fillId="16" borderId="33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/>
    <xf numFmtId="0" fontId="24" fillId="0" borderId="34" xfId="0" applyFont="1" applyBorder="1" applyAlignment="1">
      <alignment horizontal="center"/>
    </xf>
    <xf numFmtId="0" fontId="0" fillId="23" borderId="32" xfId="0" applyFill="1" applyBorder="1" applyAlignment="1">
      <alignment horizontal="center" vertical="center"/>
    </xf>
    <xf numFmtId="0" fontId="24" fillId="23" borderId="32" xfId="0" applyFont="1" applyFill="1" applyBorder="1" applyAlignment="1">
      <alignment horizontal="center" vertical="center"/>
    </xf>
    <xf numFmtId="0" fontId="24" fillId="23" borderId="34" xfId="0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0" fillId="23" borderId="0" xfId="0" applyFill="1"/>
    <xf numFmtId="0" fontId="0" fillId="24" borderId="32" xfId="0" applyFill="1" applyBorder="1" applyAlignment="1">
      <alignment horizontal="center" vertical="center"/>
    </xf>
    <xf numFmtId="0" fontId="24" fillId="24" borderId="32" xfId="0" applyFont="1" applyFill="1" applyBorder="1" applyAlignment="1">
      <alignment horizontal="center" vertical="center"/>
    </xf>
    <xf numFmtId="0" fontId="24" fillId="24" borderId="34" xfId="0" applyFont="1" applyFill="1" applyBorder="1" applyAlignment="1">
      <alignment horizontal="center" vertical="center"/>
    </xf>
    <xf numFmtId="0" fontId="0" fillId="24" borderId="34" xfId="0" applyFill="1" applyBorder="1" applyAlignment="1">
      <alignment horizontal="center" vertical="center"/>
    </xf>
    <xf numFmtId="0" fontId="0" fillId="24" borderId="0" xfId="0" applyFill="1" applyAlignment="1">
      <alignment horizontal="center"/>
    </xf>
    <xf numFmtId="0" fontId="0" fillId="24" borderId="0" xfId="0" applyFill="1"/>
    <xf numFmtId="0" fontId="0" fillId="24" borderId="34" xfId="0" applyFill="1" applyBorder="1" applyAlignment="1">
      <alignment horizontal="center"/>
    </xf>
    <xf numFmtId="0" fontId="0" fillId="23" borderId="34" xfId="0" applyFill="1" applyBorder="1" applyAlignment="1">
      <alignment horizontal="center"/>
    </xf>
    <xf numFmtId="0" fontId="24" fillId="24" borderId="32" xfId="0" applyFont="1" applyFill="1" applyBorder="1" applyAlignment="1">
      <alignment horizontal="center"/>
    </xf>
    <xf numFmtId="0" fontId="24" fillId="24" borderId="0" xfId="0" applyFont="1" applyFill="1"/>
    <xf numFmtId="0" fontId="0" fillId="25" borderId="0" xfId="0" applyFill="1" applyAlignment="1">
      <alignment horizontal="left" vertical="center"/>
    </xf>
    <xf numFmtId="0" fontId="0" fillId="25" borderId="0" xfId="0" applyFill="1" applyAlignment="1">
      <alignment horizontal="center" vertical="center"/>
    </xf>
    <xf numFmtId="0" fontId="23" fillId="25" borderId="0" xfId="0" applyFont="1" applyFill="1" applyAlignment="1">
      <alignment horizontal="center" vertical="center"/>
    </xf>
    <xf numFmtId="0" fontId="0" fillId="0" borderId="35" xfId="0" applyBorder="1"/>
    <xf numFmtId="0" fontId="3" fillId="2" borderId="0" xfId="0" applyFont="1" applyFill="1" applyAlignment="1">
      <alignment horizontal="center"/>
    </xf>
    <xf numFmtId="0" fontId="0" fillId="0" borderId="0" xfId="0"/>
    <xf numFmtId="0" fontId="19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36" xfId="0" applyNumberFormat="1" applyBorder="1"/>
  </cellXfs>
  <cellStyles count="2">
    <cellStyle name="Good" xfId="1" builtinId="26"/>
    <cellStyle name="Normal" xfId="0" builtinId="0"/>
  </cellStyles>
  <dxfs count="5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>
          <bgColor theme="2" tint="-0.24994659260841701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DB6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er D DeBold" id="{5A57B7FD-09C2-446F-AE64-CC3CAD5B36A7}" userId="S::chris.debold@mara.com::dfe9c3f4-a1aa-4771-9104-547e7186f9c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oree Caraway" refreshedDate="46076.631655902776" refreshedVersion="8" recordCount="288" xr:uid="{00000000-000A-0000-FFFF-FFFF00000000}">
  <cacheSource type="worksheet">
    <worksheetSource ref="B1:Q289" sheet="Summary"/>
  </cacheSource>
  <cacheFields count="16">
    <cacheField name="Container" numFmtId="4">
      <sharedItems containsBlank="1"/>
    </cacheField>
    <cacheField name="Miner Type" numFmtId="0">
      <sharedItems containsBlank="1"/>
    </cacheField>
    <cacheField name="Status" numFmtId="0">
      <sharedItems/>
    </cacheField>
    <cacheField name="Miner Capacity" numFmtId="0">
      <sharedItems containsBlank="1" containsMixedTypes="1" containsNumber="1" containsInteger="1" minValue="0" maxValue="57476"/>
    </cacheField>
    <cacheField name="Miner Manufacturer" numFmtId="0">
      <sharedItems containsBlank="1"/>
    </cacheField>
    <cacheField name="Phase" numFmtId="0">
      <sharedItems containsBlank="1" containsMixedTypes="1" containsNumber="1" containsInteger="1" minValue="0" maxValue="6"/>
    </cacheField>
    <cacheField name="Feeder Name" numFmtId="0">
      <sharedItems containsBlank="1"/>
    </cacheField>
    <cacheField name="Switch #" numFmtId="0">
      <sharedItems containsBlank="1"/>
    </cacheField>
    <cacheField name="High Voltage" numFmtId="0">
      <sharedItems containsBlank="1"/>
    </cacheField>
    <cacheField name="XF #" numFmtId="2">
      <sharedItems containsBlank="1"/>
    </cacheField>
    <cacheField name="XF SN" numFmtId="0">
      <sharedItems containsBlank="1" containsMixedTypes="1" containsNumber="1" containsInteger="1" minValue="2406037" maxValue="92413908002"/>
    </cacheField>
    <cacheField name="XF Manufacturer" numFmtId="0">
      <sharedItems containsBlank="1"/>
    </cacheField>
    <cacheField name="XF KvA" numFmtId="0">
      <sharedItems containsBlank="1" containsMixedTypes="1" containsNumber="1" containsInteger="1" minValue="2000" maxValue="2600"/>
    </cacheField>
    <cacheField name="Fluid Type" numFmtId="0">
      <sharedItems containsBlank="1"/>
    </cacheField>
    <cacheField name="Container Manufacturer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*TP01"/>
    <s v="Mara T2"/>
    <s v="Deployed"/>
    <n v="160"/>
    <s v="Bitmain"/>
    <n v="0"/>
    <s v="1A"/>
    <s v="SW001-A"/>
    <s v="6.9KV"/>
    <s v="XF000"/>
    <n v="2301102024"/>
    <s v="CIE"/>
    <n v="2550"/>
    <s v="OIL"/>
    <s v="Fbox"/>
    <m/>
  </r>
  <r>
    <s v="*TP02"/>
    <s v="Whatsminer M63S"/>
    <s v="Energized"/>
    <s v="---"/>
    <s v="MicroBT"/>
    <n v="0"/>
    <s v="1A"/>
    <s v="SW001-A"/>
    <s v="6.9KV"/>
    <s v="*****"/>
    <s v="**********"/>
    <s v="**********"/>
    <s v="*****"/>
    <m/>
    <s v="Hydro"/>
    <s v="Hash House"/>
  </r>
  <r>
    <s v="C000"/>
    <s v="Mara T2"/>
    <s v="Deployed"/>
    <n v="160"/>
    <s v="Bitmain"/>
    <n v="0"/>
    <s v="1A"/>
    <s v="SW001-A"/>
    <s v="6.9KV"/>
    <s v="XF001"/>
    <s v="N/A"/>
    <s v="N/A"/>
    <s v="N/A"/>
    <s v="N/A"/>
    <s v="Fbox"/>
    <m/>
  </r>
  <r>
    <s v="C001"/>
    <s v="Teraflux AI3680"/>
    <s v="Deployed"/>
    <n v="128"/>
    <s v="Auradine"/>
    <n v="0"/>
    <s v="1A"/>
    <s v="SW001-A"/>
    <s v="6.9KV"/>
    <s v="*****"/>
    <s v="**********"/>
    <s v="**********"/>
    <s v="*****"/>
    <m/>
    <s v="Submer"/>
    <m/>
  </r>
  <r>
    <s v="C002"/>
    <s v="Teraflux AI3680"/>
    <s v="Deployed"/>
    <n v="128"/>
    <s v="Auradine"/>
    <n v="0"/>
    <s v="1A"/>
    <s v="SW001-A"/>
    <s v="6.9KV"/>
    <s v="XF002"/>
    <s v="ST1121-353957"/>
    <s v="Sunbelt"/>
    <n v="2000"/>
    <s v="OIL"/>
    <s v="Submer"/>
    <m/>
  </r>
  <r>
    <s v="C003"/>
    <s v="BixBit Hydro"/>
    <s v="Offline"/>
    <n v="0"/>
    <m/>
    <n v="0"/>
    <s v="1A"/>
    <s v="SW001-A"/>
    <s v="6.9KV"/>
    <s v="*****"/>
    <s v="**********"/>
    <s v="**********"/>
    <s v="*****"/>
    <m/>
    <s v="Hydro"/>
    <m/>
  </r>
  <r>
    <s v="C004"/>
    <s v="Whatsminer M56S++"/>
    <s v="Deployed"/>
    <n v="128"/>
    <s v="MicroBT"/>
    <n v="1"/>
    <s v="11A"/>
    <s v="SW002-A"/>
    <s v="34.5KV"/>
    <s v="XF003"/>
    <n v="2406041"/>
    <s v="Jiangsu Dabbojin "/>
    <n v="2600"/>
    <s v="FR3"/>
    <s v="Fbox"/>
    <m/>
  </r>
  <r>
    <s v="C005"/>
    <s v="Whatsminer M56S++"/>
    <s v="Deployed"/>
    <n v="128"/>
    <s v="MicroBT"/>
    <n v="1"/>
    <s v="11A"/>
    <s v="SW002-A"/>
    <s v="34.5KV"/>
    <s v="*****"/>
    <s v="**********"/>
    <s v="**********"/>
    <s v="*****"/>
    <m/>
    <s v="Fbox"/>
    <m/>
  </r>
  <r>
    <s v="C006"/>
    <s v="Whatsminer M56S++"/>
    <s v="Deployed"/>
    <n v="128"/>
    <s v="MicroBT"/>
    <n v="1"/>
    <s v="11A"/>
    <s v="SW002-B"/>
    <s v="34.5KV"/>
    <s v="XF004"/>
    <n v="2406040"/>
    <s v="Jiangsu Dabbojin "/>
    <n v="2600"/>
    <s v="FR3"/>
    <s v="Fbox"/>
    <m/>
  </r>
  <r>
    <s v="C007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08"/>
    <s v="Whatsminer M56S++"/>
    <s v="Deployed"/>
    <n v="128"/>
    <s v="MicroBT"/>
    <n v="1"/>
    <s v="11A"/>
    <s v="SW002-B"/>
    <s v="34.5KV"/>
    <s v="XF005"/>
    <n v="2406072"/>
    <s v="Jiangsu Dabbojin "/>
    <n v="2600"/>
    <s v="FR3"/>
    <s v="Fbox"/>
    <m/>
  </r>
  <r>
    <s v="C009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10"/>
    <s v="Whatsminer M56S++"/>
    <s v="Deployed"/>
    <n v="128"/>
    <s v="MicroBT"/>
    <s v="1+"/>
    <s v="11B"/>
    <s v="SW003-A"/>
    <s v="34.5KV"/>
    <s v="XF006"/>
    <s v="JC 2800-2415"/>
    <s v="JCL Energy"/>
    <n v="2600"/>
    <s v="OIL"/>
    <s v="Fbox"/>
    <m/>
  </r>
  <r>
    <s v="C011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12"/>
    <s v="Whatsminer M56S++"/>
    <s v="Deployed"/>
    <n v="128"/>
    <s v="MicroBT"/>
    <s v="1+"/>
    <s v="11B"/>
    <s v="SW003-A"/>
    <s v="34.5KV"/>
    <s v="XF007"/>
    <s v="JC2600-2418"/>
    <s v="JCL Energy"/>
    <n v="2600"/>
    <s v="OIL"/>
    <s v="Fbox"/>
    <m/>
  </r>
  <r>
    <s v="C013"/>
    <s v="Whatsminer M66S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14"/>
    <s v="Greenhash Hydro"/>
    <s v="Energized"/>
    <n v="0"/>
    <m/>
    <n v="0"/>
    <s v="1B"/>
    <s v="SW001-B"/>
    <s v="6.9KV"/>
    <s v="XF008"/>
    <s v="ST1121-353953"/>
    <s v="Sunbelt"/>
    <n v="2000"/>
    <s v="FR3"/>
    <s v="Hydro"/>
    <m/>
  </r>
  <r>
    <s v="C015"/>
    <s v="Fog Hashing Hydro"/>
    <s v="Energized"/>
    <n v="0"/>
    <m/>
    <n v="0"/>
    <s v="1B"/>
    <s v="SW001-B"/>
    <s v="6.9KV"/>
    <s v="*****"/>
    <s v="**********"/>
    <s v="**********"/>
    <s v="*****"/>
    <m/>
    <s v="Hydro"/>
    <m/>
  </r>
  <r>
    <s v="C016"/>
    <s v="Fbox Hydro"/>
    <s v="Deployed"/>
    <n v="0"/>
    <m/>
    <n v="0"/>
    <s v="2A"/>
    <s v="SW001-C"/>
    <s v="6.9KV"/>
    <s v="XF009"/>
    <s v="ST1121-353951"/>
    <s v="Sunbelt"/>
    <n v="2000"/>
    <s v="FR3"/>
    <s v="Hydro"/>
    <m/>
  </r>
  <r>
    <s v="C017"/>
    <s v="Antminer S21"/>
    <s v="Deployed"/>
    <n v="160"/>
    <s v="Bitmain"/>
    <n v="0"/>
    <s v="2A"/>
    <s v="SW001-C"/>
    <s v="6.9KV"/>
    <s v="*****"/>
    <s v="**********"/>
    <s v="**********"/>
    <s v="*****"/>
    <m/>
    <s v="Fbox"/>
    <m/>
  </r>
  <r>
    <s v="C018"/>
    <s v="Whatsminer M56S++"/>
    <s v="Deployed"/>
    <n v="128"/>
    <s v="MicroBT"/>
    <n v="1"/>
    <s v="11A"/>
    <s v="SW002-A"/>
    <s v="34.5KV"/>
    <s v="XF010"/>
    <n v="2406081"/>
    <s v="Jiangsu Dabbojin "/>
    <n v="2600"/>
    <s v="FR3"/>
    <s v="Fbox"/>
    <m/>
  </r>
  <r>
    <s v="C019"/>
    <s v="Whatsminer M56S++"/>
    <s v="Deployed"/>
    <n v="128"/>
    <s v="MicroBT"/>
    <n v="1"/>
    <s v="11A"/>
    <s v="SW002-A"/>
    <s v="34.5KV"/>
    <s v="*****"/>
    <s v="**********"/>
    <s v="**********"/>
    <s v="*****"/>
    <m/>
    <s v="Fbox"/>
    <m/>
  </r>
  <r>
    <s v="C020"/>
    <s v="Whatsminer M56S++"/>
    <s v="Deployed"/>
    <n v="128"/>
    <s v="MicroBT"/>
    <n v="1"/>
    <s v="11A"/>
    <s v="SW002-B"/>
    <s v="34.5KV"/>
    <s v="XF011"/>
    <n v="2406094"/>
    <s v="Jiangsu Dabbojin "/>
    <n v="2600"/>
    <s v="FR3"/>
    <s v="Fbox"/>
    <m/>
  </r>
  <r>
    <s v="C021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22"/>
    <s v="Whatsminer M56S++"/>
    <s v="Deployed"/>
    <n v="128"/>
    <s v="MicroBT"/>
    <n v="1"/>
    <s v="11A"/>
    <s v="SW002-B"/>
    <s v="34.5KV"/>
    <s v="XF012"/>
    <n v="2406093"/>
    <s v="Jiangsu Dabbojin "/>
    <n v="2600"/>
    <s v="FR3"/>
    <s v="Fbox"/>
    <m/>
  </r>
  <r>
    <s v="C023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24"/>
    <s v="Whatsminer M56S++"/>
    <s v="Deployed"/>
    <n v="128"/>
    <s v="MicroBT"/>
    <s v="1+"/>
    <s v="11B"/>
    <s v="SW003-A"/>
    <s v="34.5KV"/>
    <s v="XF013"/>
    <s v="JC2600-2413"/>
    <s v="JCL Energy"/>
    <n v="2600"/>
    <s v="OIL"/>
    <s v="Fbox"/>
    <m/>
  </r>
  <r>
    <s v="C025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26"/>
    <s v="Whatsminer M56S++"/>
    <s v="Deployed"/>
    <n v="128"/>
    <s v="MicroBT"/>
    <s v="1+"/>
    <s v="11B"/>
    <s v="SW003-A"/>
    <s v="34.5KV"/>
    <s v="XF014"/>
    <s v="JC2600-2416"/>
    <s v="JCL Energy"/>
    <n v="2600"/>
    <s v="OIL"/>
    <s v="Fbox"/>
    <m/>
  </r>
  <r>
    <s v="C027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28"/>
    <s v="Antminer S21"/>
    <s v="Deployed"/>
    <n v="160"/>
    <s v="Bitmain"/>
    <n v="0"/>
    <s v="1B"/>
    <s v="SW001-B"/>
    <s v="6.9KV"/>
    <s v="XF015"/>
    <s v="ST1121-353960"/>
    <s v="Sunbelt"/>
    <n v="2000"/>
    <s v="FR3"/>
    <s v="Fbox"/>
    <m/>
  </r>
  <r>
    <s v="C029"/>
    <s v="Antminer S21"/>
    <s v="Deployed"/>
    <n v="160"/>
    <s v="Bitmain"/>
    <n v="0"/>
    <s v="1B"/>
    <s v="SW001-B"/>
    <s v="6.9KV"/>
    <s v="*****"/>
    <s v="**********"/>
    <s v="**********"/>
    <s v="*****"/>
    <m/>
    <s v="Fbox"/>
    <m/>
  </r>
  <r>
    <s v="C030"/>
    <s v="Antminer S21"/>
    <s v="Deployed"/>
    <n v="160"/>
    <s v="Bitmain"/>
    <n v="0"/>
    <s v="2A"/>
    <s v="SW001-C"/>
    <s v="6.9KV"/>
    <s v="XF016"/>
    <s v="ST1121-353962"/>
    <s v="Sunbelt"/>
    <n v="2000"/>
    <s v="FR3"/>
    <s v="Fbox"/>
    <m/>
  </r>
  <r>
    <s v="C031"/>
    <s v="Antminer S21"/>
    <s v="Deployed"/>
    <n v="160"/>
    <s v="Bitmain"/>
    <n v="0"/>
    <s v="2A"/>
    <s v="SW001-C"/>
    <s v="6.9KV"/>
    <s v="*****"/>
    <s v="**********"/>
    <s v="**********"/>
    <s v="*****"/>
    <m/>
    <s v="Fbox"/>
    <m/>
  </r>
  <r>
    <s v="C032"/>
    <s v="Whatsminer M56S++"/>
    <s v="Deployed"/>
    <n v="128"/>
    <s v="MicroBT"/>
    <n v="1"/>
    <s v="11A"/>
    <s v="SW002-A"/>
    <s v="34.5KV"/>
    <s v="XF017"/>
    <n v="2406097"/>
    <s v="Jiangsu Dabbojin "/>
    <n v="2600"/>
    <s v="FR3"/>
    <s v="Fbox"/>
    <m/>
  </r>
  <r>
    <s v="C033"/>
    <s v="Whatsminer M56S++"/>
    <s v="Deployed"/>
    <n v="128"/>
    <s v="MicroBT"/>
    <n v="1"/>
    <s v="11A"/>
    <s v="SW002-A"/>
    <s v="34.5KV"/>
    <s v="*****"/>
    <s v="**********"/>
    <s v="**********"/>
    <s v="*****"/>
    <m/>
    <s v="Fbox"/>
    <m/>
  </r>
  <r>
    <s v="C034"/>
    <s v="Whatsminer M56S++"/>
    <s v="Deployed"/>
    <n v="128"/>
    <s v="MicroBT"/>
    <n v="1"/>
    <s v="11A"/>
    <s v="SW002-B"/>
    <s v="34.5KV"/>
    <s v="XF018"/>
    <n v="2406080"/>
    <s v="Jiangsu Dabbojin "/>
    <n v="2600"/>
    <s v="FR3"/>
    <s v="Fbox"/>
    <m/>
  </r>
  <r>
    <s v="C035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36"/>
    <s v="Whatsminer M56S++"/>
    <s v="Deployed"/>
    <n v="128"/>
    <s v="MicroBT"/>
    <n v="1"/>
    <s v="11A"/>
    <s v="SW002-B"/>
    <s v="34.5KV"/>
    <s v="XF019"/>
    <n v="2406046"/>
    <s v="Jiangsu Dabbojin "/>
    <n v="2600"/>
    <s v="FR3"/>
    <s v="Fbox"/>
    <m/>
  </r>
  <r>
    <s v="C037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38"/>
    <s v="Whatsminer M56S++"/>
    <s v="Deployed"/>
    <n v="128"/>
    <s v="MicroBT"/>
    <s v="1+"/>
    <s v="11B"/>
    <s v="SW003-A"/>
    <s v="34.5KV"/>
    <s v="XF020"/>
    <s v="JC2600-2414"/>
    <s v="JCL Energy"/>
    <n v="2600"/>
    <s v="OIL"/>
    <s v="Fbox"/>
    <m/>
  </r>
  <r>
    <s v="C039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40"/>
    <s v="Antminer S21"/>
    <s v="Deployed"/>
    <n v="160"/>
    <s v="Bitmain"/>
    <s v="1+"/>
    <s v="11B"/>
    <s v="SW003-A"/>
    <s v="34.5KV"/>
    <s v="XF021"/>
    <n v="2406037"/>
    <s v="Jiangsu Dabbojin "/>
    <n v="2600"/>
    <s v="FR3"/>
    <s v="Fbox"/>
    <m/>
  </r>
  <r>
    <s v="C041"/>
    <s v="Antminer S21"/>
    <s v="Deployed"/>
    <n v="160"/>
    <s v="Bitmain"/>
    <s v="1+"/>
    <s v="11B"/>
    <s v="SW003-A"/>
    <s v="34.5KV"/>
    <s v="*****"/>
    <s v="**********"/>
    <s v="**********"/>
    <s v="*****"/>
    <m/>
    <s v="Fbox"/>
    <m/>
  </r>
  <r>
    <s v="C042"/>
    <s v="Antminer S21"/>
    <s v="Deployed"/>
    <n v="160"/>
    <s v="Bitmain"/>
    <n v="0"/>
    <s v="1B"/>
    <s v="SW001-B"/>
    <s v="6.9KV"/>
    <s v="XF022"/>
    <s v="ST1121-353955"/>
    <s v="Sunbelt"/>
    <n v="2000"/>
    <s v="OIL"/>
    <s v="Fbox"/>
    <m/>
  </r>
  <r>
    <s v="C043"/>
    <s v="Antminer S21"/>
    <s v="Deployed"/>
    <n v="160"/>
    <s v="Bitmain"/>
    <n v="0"/>
    <s v="1B"/>
    <s v="SW001-B"/>
    <s v="6.9KV"/>
    <s v="*****"/>
    <s v="**********"/>
    <s v="**********"/>
    <s v="*****"/>
    <m/>
    <s v="Fbox"/>
    <m/>
  </r>
  <r>
    <s v="C044"/>
    <s v="Antminer S21"/>
    <s v="Deployed"/>
    <n v="160"/>
    <s v="Bitmain"/>
    <n v="0"/>
    <s v="2A"/>
    <s v="SW001-C"/>
    <s v="6.9KV"/>
    <s v="XF023"/>
    <s v="TBV8381-01"/>
    <s v="Sunbelt"/>
    <n v="2000"/>
    <s v="FR3"/>
    <s v="Fbox"/>
    <m/>
  </r>
  <r>
    <s v="C045"/>
    <s v="Antminer S21"/>
    <s v="Deployed"/>
    <n v="160"/>
    <s v="Bitmain"/>
    <n v="0"/>
    <s v="2A"/>
    <s v="SW001-C"/>
    <s v="6.9KV"/>
    <s v="*****"/>
    <s v="**********"/>
    <s v="**********"/>
    <s v="*****"/>
    <m/>
    <s v="Fbox"/>
    <m/>
  </r>
  <r>
    <s v="C046"/>
    <s v="Antminer S21"/>
    <s v="Deployed"/>
    <n v="160"/>
    <s v="Bitmain"/>
    <n v="1"/>
    <s v="11A"/>
    <s v="SW002-A"/>
    <s v="34.5KV"/>
    <s v="XF024"/>
    <n v="2406038"/>
    <s v="Jiangsu Dabbojin "/>
    <n v="2600"/>
    <s v="FR3"/>
    <s v="Fbox"/>
    <m/>
  </r>
  <r>
    <s v="C047"/>
    <s v="Antminer S21"/>
    <s v="Deployed"/>
    <n v="160"/>
    <s v="Bitmain"/>
    <n v="1"/>
    <s v="11A"/>
    <s v="SW002-A"/>
    <s v="34.5KV"/>
    <s v="*****"/>
    <s v="**********"/>
    <s v="**********"/>
    <s v="*****"/>
    <m/>
    <s v="Fbox"/>
    <m/>
  </r>
  <r>
    <s v="C048"/>
    <s v="TAE BESS"/>
    <s v="Offline"/>
    <m/>
    <s v="--"/>
    <n v="1"/>
    <s v="11A"/>
    <s v="SW002-B"/>
    <s v="34.5KV"/>
    <s v="XF025"/>
    <n v="2406082"/>
    <s v="Jiangsu Dabbojin "/>
    <n v="2600"/>
    <s v="FR3"/>
    <s v="TAE"/>
    <s v="Not Installed"/>
  </r>
  <r>
    <s v="C049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50"/>
    <s v="Whatsminer M56S++"/>
    <s v="Deployed"/>
    <n v="128"/>
    <s v="MicroBT"/>
    <n v="1"/>
    <s v="11A"/>
    <s v="SW002-B"/>
    <s v="34.5KV"/>
    <s v="XF026"/>
    <n v="2406098"/>
    <s v="Jiangsu Dabbojin "/>
    <n v="2600"/>
    <s v="FR3"/>
    <s v="Fbox"/>
    <m/>
  </r>
  <r>
    <s v="C051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52"/>
    <s v="Whatsminer M56S++ / M66S"/>
    <s v="Deployed"/>
    <n v="128"/>
    <s v="MicroBT"/>
    <s v="1+"/>
    <s v="11B"/>
    <s v="SW003-A"/>
    <s v="34.5KV"/>
    <s v="XF027"/>
    <s v="JC2600-2408"/>
    <s v="JCL Energy"/>
    <n v="2600"/>
    <s v="OIL"/>
    <s v="Fbox"/>
    <m/>
  </r>
  <r>
    <s v="C053"/>
    <s v="Whatsminer M66S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54"/>
    <s v="Antminer S21"/>
    <s v="Deployed"/>
    <n v="160"/>
    <s v="Bitmain"/>
    <s v="1+"/>
    <s v="11B"/>
    <s v="SW003-A"/>
    <s v="34.5KV"/>
    <s v="XF028"/>
    <n v="2406089"/>
    <s v="Jiangsu Dabbojin "/>
    <n v="2600"/>
    <s v="FR3"/>
    <s v="Fbox"/>
    <m/>
  </r>
  <r>
    <s v="C055"/>
    <s v="Antminer S21"/>
    <s v="Deployed"/>
    <n v="160"/>
    <s v="Bitmain"/>
    <s v="1+"/>
    <s v="11B"/>
    <s v="SW003-A"/>
    <s v="34.5KV"/>
    <s v="*****"/>
    <s v="**********"/>
    <s v="**********"/>
    <s v="*****"/>
    <m/>
    <s v="Fbox"/>
    <m/>
  </r>
  <r>
    <s v="C056"/>
    <s v="Antminer S21"/>
    <s v="Deployed"/>
    <n v="160"/>
    <s v="Bitmain"/>
    <s v="1+"/>
    <s v="11B"/>
    <s v="SW003-B"/>
    <s v="34.5KV"/>
    <s v="XF029"/>
    <n v="2406083"/>
    <s v="Jiangsu Dabbojin "/>
    <n v="2600"/>
    <s v="FR3"/>
    <s v="Fbox"/>
    <m/>
  </r>
  <r>
    <s v="C057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58"/>
    <s v="Antminer S21"/>
    <s v="Deployed"/>
    <n v="160"/>
    <s v="Bitmain"/>
    <s v="1+"/>
    <s v="11B"/>
    <s v="SW003-B"/>
    <s v="34.5KV"/>
    <s v="XF030"/>
    <n v="2406051"/>
    <s v="Jiangsu Dabbojin "/>
    <n v="2600"/>
    <s v="FR3"/>
    <s v="Fbox"/>
    <m/>
  </r>
  <r>
    <s v="C059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0"/>
    <s v="Antminer S21"/>
    <s v="Deployed"/>
    <n v="160"/>
    <s v="Bitmain"/>
    <s v="1+"/>
    <s v="11B"/>
    <s v="SW003-B"/>
    <s v="34.5KV"/>
    <s v="XF031"/>
    <n v="2406053"/>
    <s v="Jiangsu Dabbojin "/>
    <n v="2600"/>
    <s v="FR3"/>
    <s v="Fbox"/>
    <m/>
  </r>
  <r>
    <s v="C061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2"/>
    <s v="Antminer S21"/>
    <s v="Deployed"/>
    <n v="160"/>
    <s v="Bitmain"/>
    <s v="1+"/>
    <s v="11B"/>
    <s v="SW003-B"/>
    <s v="34.5KV"/>
    <s v="XF032"/>
    <n v="2406099"/>
    <s v="Jiangsu Dabbojin "/>
    <n v="2600"/>
    <s v="FR3"/>
    <s v="Fbox"/>
    <m/>
  </r>
  <r>
    <s v="C063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4"/>
    <s v="Antminer S21"/>
    <s v="Deployed"/>
    <n v="160"/>
    <s v="Bitmain"/>
    <s v="1+"/>
    <s v="11B"/>
    <s v="SW003-B"/>
    <s v="34.5KV"/>
    <s v="XF033"/>
    <n v="2406071"/>
    <s v="Jiangsu Dabbojin "/>
    <n v="2600"/>
    <s v="FR3"/>
    <s v="Fbox"/>
    <m/>
  </r>
  <r>
    <s v="C065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6"/>
    <s v="Antminer S21"/>
    <s v="Deployed"/>
    <n v="160"/>
    <s v="Bitmain"/>
    <s v="1+"/>
    <s v="11B"/>
    <s v="SW003-B"/>
    <s v="34.5KV"/>
    <s v="XF034"/>
    <n v="2406054"/>
    <s v="Jiangsu Dabbojin "/>
    <n v="2600"/>
    <s v="FR3"/>
    <s v="Fbox"/>
    <m/>
  </r>
  <r>
    <s v="C067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8"/>
    <s v="Antminer S21"/>
    <s v="Deployed"/>
    <n v="160"/>
    <s v="Bitmain"/>
    <s v="1+"/>
    <s v="11B"/>
    <s v="SW003-B"/>
    <s v="34.5KV"/>
    <s v="XF035"/>
    <n v="20112290433"/>
    <s v="Sunbelt"/>
    <n v="2000"/>
    <s v="OIL"/>
    <s v="Fbox"/>
    <m/>
  </r>
  <r>
    <s v="C069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70"/>
    <s v="Antminer S21"/>
    <s v="Deployed"/>
    <n v="160"/>
    <s v="Bitmain"/>
    <s v="1+"/>
    <s v="11B"/>
    <s v="SW003-B"/>
    <s v="34.5KV"/>
    <s v="XF036"/>
    <n v="20112290338"/>
    <s v="Sunbelt"/>
    <n v="2000"/>
    <s v="OIL"/>
    <s v="Fbox"/>
    <m/>
  </r>
  <r>
    <s v="C071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72"/>
    <s v="Antminer S21"/>
    <s v="Deployed"/>
    <n v="160"/>
    <s v="Bitmain"/>
    <n v="2"/>
    <s v="11C"/>
    <s v="SW004-A"/>
    <s v="34.5KV"/>
    <s v="XF037"/>
    <s v="M22E15968"/>
    <s v="Sunbelt"/>
    <n v="2000"/>
    <s v="OIL"/>
    <s v="Fbox"/>
    <m/>
  </r>
  <r>
    <s v="C073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74"/>
    <s v="Antminer S21"/>
    <s v="Deployed"/>
    <n v="160"/>
    <s v="Bitmain"/>
    <n v="2"/>
    <s v="11C"/>
    <s v="SW004-A"/>
    <s v="34.5KV"/>
    <s v="XF038"/>
    <s v="M22D24605"/>
    <s v="Sunbelt"/>
    <n v="2000"/>
    <s v="OIL"/>
    <s v="Fbox"/>
    <m/>
  </r>
  <r>
    <s v="C075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76"/>
    <s v="Antminer S21"/>
    <s v="Deployed"/>
    <n v="160"/>
    <s v="Bitmain"/>
    <n v="2"/>
    <s v="11C"/>
    <s v="SW004-A"/>
    <s v="34.5KV"/>
    <s v="XF039"/>
    <s v="M22E15969"/>
    <s v="Sunbelt"/>
    <n v="2000"/>
    <s v="OIL"/>
    <s v="Fbox"/>
    <m/>
  </r>
  <r>
    <s v="C077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78"/>
    <s v="Antminer S21"/>
    <s v="Deployed"/>
    <n v="160"/>
    <s v="Bitmain"/>
    <n v="2"/>
    <s v="11C"/>
    <s v="SW004-A"/>
    <s v="34.5KV"/>
    <s v="XF040"/>
    <n v="20112290346"/>
    <s v="Sunbelt"/>
    <n v="2000"/>
    <s v="OIL"/>
    <s v="Fbox"/>
    <m/>
  </r>
  <r>
    <s v="C079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80"/>
    <s v="Antminer S21"/>
    <s v="Deployed"/>
    <n v="160"/>
    <s v="Bitmain"/>
    <n v="2"/>
    <s v="11C"/>
    <s v="SW004-B"/>
    <s v="34.5KV"/>
    <s v="XF041"/>
    <s v="M222D24612"/>
    <s v="Sunbelt"/>
    <n v="2000"/>
    <s v="OIL"/>
    <s v="Fbox"/>
    <m/>
  </r>
  <r>
    <s v="C081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2"/>
    <s v="Antminer S21"/>
    <s v="Deployed"/>
    <n v="160"/>
    <s v="Bitmain"/>
    <n v="2"/>
    <s v="11C"/>
    <s v="SW004-B"/>
    <s v="34.5KV"/>
    <s v="XF042"/>
    <s v="M21F19311"/>
    <s v="Sunbelt"/>
    <n v="2000"/>
    <s v="OIL"/>
    <s v="Fbox"/>
    <m/>
  </r>
  <r>
    <s v="C083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4"/>
    <s v="Antminer S21"/>
    <s v="Deployed"/>
    <n v="160"/>
    <s v="Bitmain"/>
    <n v="2"/>
    <s v="11C"/>
    <s v="SW004-B"/>
    <s v="34.5KV"/>
    <s v="XF043"/>
    <n v="20112290444"/>
    <s v="Sunbelt"/>
    <n v="2000"/>
    <s v="OIL"/>
    <s v="Fbox"/>
    <m/>
  </r>
  <r>
    <s v="C085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6"/>
    <s v="Antminer S21"/>
    <s v="Deployed"/>
    <n v="160"/>
    <s v="Bitmain"/>
    <n v="2"/>
    <s v="11C"/>
    <s v="SW004-B"/>
    <s v="34.5KV"/>
    <s v="XF044"/>
    <n v="20112290416"/>
    <s v="Sunbelt"/>
    <n v="2000"/>
    <s v="OIL"/>
    <s v="Fbox"/>
    <m/>
  </r>
  <r>
    <s v="C087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8"/>
    <s v="Antminer S21"/>
    <s v="Deployed"/>
    <n v="160"/>
    <s v="Bitmain"/>
    <n v="3"/>
    <s v="12A"/>
    <s v="SW005-A"/>
    <s v="34.5KV"/>
    <s v="XF045"/>
    <s v="M22D24604"/>
    <s v="Sunbelt"/>
    <n v="2000"/>
    <s v="OIL"/>
    <s v="Fbox"/>
    <m/>
  </r>
  <r>
    <s v="C089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0"/>
    <s v="Antminer S21"/>
    <s v="Deployed"/>
    <n v="160"/>
    <s v="Bitmain"/>
    <n v="3"/>
    <s v="12A"/>
    <s v="SW005-A"/>
    <s v="34.5KV"/>
    <s v="XF046"/>
    <s v="M22D24603"/>
    <s v="Sunbelt"/>
    <n v="2000"/>
    <s v="OIL"/>
    <s v="Fbox"/>
    <m/>
  </r>
  <r>
    <s v="C091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2"/>
    <s v="Antminer S21"/>
    <s v="Deployed"/>
    <n v="160"/>
    <s v="Bitmain"/>
    <n v="3"/>
    <s v="12A"/>
    <s v="SW005-A"/>
    <s v="34.5KV"/>
    <s v="XF047"/>
    <s v="M21F19627"/>
    <s v="Sunbelt"/>
    <n v="2000"/>
    <s v="OIL"/>
    <s v="Fbox"/>
    <m/>
  </r>
  <r>
    <s v="C093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4"/>
    <s v="Antminer S21"/>
    <s v="Deployed"/>
    <n v="160"/>
    <s v="Bitmain"/>
    <n v="3"/>
    <s v="12A"/>
    <s v="SW005-A"/>
    <s v="34.5KV"/>
    <s v="XF048"/>
    <s v="M22D24607"/>
    <s v="Sunbelt"/>
    <n v="2000"/>
    <s v="OIL"/>
    <s v="Fbox"/>
    <m/>
  </r>
  <r>
    <s v="C095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6"/>
    <s v="Antminer S21"/>
    <s v="Deployed"/>
    <n v="160"/>
    <s v="Bitmain"/>
    <n v="3"/>
    <s v="12A"/>
    <s v="SW005-A"/>
    <s v="34.5KV"/>
    <s v="XF049"/>
    <n v="20112290347"/>
    <s v="Sunbelt"/>
    <n v="2000"/>
    <s v="OIL"/>
    <s v="Fbox"/>
    <m/>
  </r>
  <r>
    <s v="C097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8"/>
    <s v="Antminer S21"/>
    <s v="Deployed"/>
    <n v="160"/>
    <s v="Bitmain"/>
    <n v="3"/>
    <s v="12A"/>
    <s v="SW005-A"/>
    <s v="34.5KV"/>
    <s v="XF050"/>
    <s v="JC2550-22121"/>
    <s v="JCL Energy"/>
    <n v="2600"/>
    <s v="FR3"/>
    <s v="Fbox"/>
    <m/>
  </r>
  <r>
    <s v="C099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0"/>
    <s v="Antminer S21"/>
    <s v="Deployed"/>
    <n v="160"/>
    <s v="Bitmain"/>
    <n v="3"/>
    <s v="12A"/>
    <s v="SW005-A"/>
    <s v="34.5KV"/>
    <s v="XF051"/>
    <s v="M21F19309"/>
    <s v="Sunbelt"/>
    <n v="2000"/>
    <s v="OIL"/>
    <s v="Fbox"/>
    <m/>
  </r>
  <r>
    <s v="C101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2"/>
    <s v="Antminer S21"/>
    <s v="Deployed"/>
    <n v="160"/>
    <s v="Bitmain"/>
    <n v="3"/>
    <s v="12A"/>
    <s v="SW005-A"/>
    <s v="34.5KV"/>
    <s v="XF052"/>
    <s v="M21F19307"/>
    <s v="Sunbelt"/>
    <n v="2000"/>
    <s v="OIL"/>
    <s v="Fbox"/>
    <m/>
  </r>
  <r>
    <s v="C103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4"/>
    <s v="Antminer S21"/>
    <s v="Deployed"/>
    <n v="160"/>
    <s v="Bitmain"/>
    <n v="3"/>
    <s v="12A"/>
    <s v="SW005-A"/>
    <s v="34.5KV"/>
    <s v="XF053"/>
    <s v="M21F19626"/>
    <s v="Sunbelt"/>
    <n v="2000"/>
    <s v="OIL"/>
    <s v="Fbox"/>
    <m/>
  </r>
  <r>
    <s v="C105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6"/>
    <s v="Antminer S21"/>
    <s v="Deployed"/>
    <n v="160"/>
    <s v="Bitmain"/>
    <n v="3"/>
    <s v="12A"/>
    <s v="SW005-A"/>
    <s v="34.5KV"/>
    <s v="XF054"/>
    <s v="M21F19628"/>
    <s v="Sunbelt"/>
    <n v="2000"/>
    <s v="OIL"/>
    <s v="Fbox"/>
    <m/>
  </r>
  <r>
    <s v="C107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8"/>
    <s v="Antminer S21"/>
    <s v="Deployed"/>
    <n v="160"/>
    <s v="Bitmain"/>
    <n v="3"/>
    <s v="12A"/>
    <s v="SW005-B"/>
    <s v="34.5KV"/>
    <s v="XF055"/>
    <n v="20112290350"/>
    <s v="Sunbelt"/>
    <n v="2000"/>
    <s v="OIL"/>
    <s v="Fbox"/>
    <m/>
  </r>
  <r>
    <s v="C109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0"/>
    <s v="Antminer S21"/>
    <s v="Deployed"/>
    <n v="160"/>
    <s v="Bitmain"/>
    <n v="3"/>
    <s v="12A"/>
    <s v="SW005-B"/>
    <s v="34.5KV"/>
    <s v="XF056"/>
    <n v="20112290439"/>
    <s v="Sunbelt"/>
    <n v="2000"/>
    <s v="OIL"/>
    <s v="Fbox"/>
    <m/>
  </r>
  <r>
    <s v="C111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2"/>
    <s v="Antminer S21"/>
    <s v="Deployed"/>
    <n v="160"/>
    <s v="Bitmain"/>
    <n v="3"/>
    <s v="12A"/>
    <s v="SW005-B"/>
    <s v="34.5KV"/>
    <s v="XF057"/>
    <n v="20112290373"/>
    <s v="Sunbelt"/>
    <n v="2000"/>
    <s v="OIL"/>
    <s v="Fbox"/>
    <m/>
  </r>
  <r>
    <s v="C113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4"/>
    <s v="Antminer S21"/>
    <s v="Deployed"/>
    <n v="160"/>
    <s v="Bitmain"/>
    <n v="3"/>
    <s v="12A"/>
    <s v="SW005-B"/>
    <s v="34.5KV"/>
    <s v="XF058"/>
    <n v="20112290440"/>
    <s v="Sunbelt"/>
    <n v="2000"/>
    <s v="OIL"/>
    <s v="Fbox"/>
    <m/>
  </r>
  <r>
    <s v="C115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6"/>
    <s v="Antminer S21"/>
    <s v="Deployed"/>
    <n v="160"/>
    <s v="Bitmain"/>
    <n v="3"/>
    <s v="12A"/>
    <s v="SW005-B"/>
    <s v="34.5KV"/>
    <s v="XF059"/>
    <n v="20112402820"/>
    <s v="Sunbelt"/>
    <n v="2000"/>
    <s v="OIL"/>
    <s v="Fbox"/>
    <m/>
  </r>
  <r>
    <s v="C117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8"/>
    <s v="Antminer S21"/>
    <s v="Deployed"/>
    <n v="160"/>
    <s v="Bitmain"/>
    <n v="3"/>
    <s v="12A"/>
    <s v="SW005-B"/>
    <s v="34.5KV"/>
    <s v="XF060"/>
    <s v="M22E15964"/>
    <s v="Sunbelt"/>
    <n v="2000"/>
    <s v="OIL"/>
    <s v="Fbox"/>
    <m/>
  </r>
  <r>
    <s v="C119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0"/>
    <s v="Antminer S21"/>
    <s v="Deployed"/>
    <n v="160"/>
    <s v="Bitmain"/>
    <n v="3"/>
    <s v="12A"/>
    <s v="SW005-B"/>
    <s v="34.5KV"/>
    <s v="XF061"/>
    <n v="20112290435"/>
    <s v="Sunbelt"/>
    <n v="2000"/>
    <s v="OIL"/>
    <s v="Fbox"/>
    <m/>
  </r>
  <r>
    <s v="C121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2"/>
    <s v="Antminer S21"/>
    <s v="Deployed"/>
    <n v="160"/>
    <s v="Bitmain"/>
    <n v="3"/>
    <s v="12A"/>
    <s v="SW005-B"/>
    <s v="34.5KV"/>
    <s v="XF062"/>
    <n v="20112290330"/>
    <s v="Sunbelt"/>
    <n v="2000"/>
    <s v="OIL"/>
    <s v="Fbox"/>
    <m/>
  </r>
  <r>
    <s v="C123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4"/>
    <s v="Antminer S21"/>
    <s v="Deployed"/>
    <n v="160"/>
    <s v="Bitmain"/>
    <n v="3"/>
    <s v="12A"/>
    <s v="SW005-B"/>
    <s v="34.5KV"/>
    <s v="XF063"/>
    <n v="20112290337"/>
    <s v="Sunbelt"/>
    <n v="2000"/>
    <s v="OIL"/>
    <s v="Fbox"/>
    <m/>
  </r>
  <r>
    <s v="C125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6"/>
    <s v="Antminer S21"/>
    <s v="Deployed"/>
    <n v="160"/>
    <s v="Bitmain"/>
    <n v="3"/>
    <s v="12A"/>
    <s v="SW005-B"/>
    <s v="34.5KV"/>
    <s v="XF064"/>
    <n v="20112290326"/>
    <s v="Sunbelt"/>
    <n v="2000"/>
    <s v="OIL"/>
    <s v="Fbox"/>
    <m/>
  </r>
  <r>
    <s v="C127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8"/>
    <s v="Antminer S21"/>
    <s v="Deployed"/>
    <n v="160"/>
    <s v="Bitmain"/>
    <n v="4"/>
    <s v="12B"/>
    <s v="SW006-A"/>
    <s v="34.5KV"/>
    <s v="XF065"/>
    <n v="20112290369"/>
    <s v="Sunbelt"/>
    <n v="2000"/>
    <s v="OIL"/>
    <s v="Fbox"/>
    <m/>
  </r>
  <r>
    <s v="C129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0"/>
    <s v="Antminer S21"/>
    <s v="Deployed"/>
    <n v="160"/>
    <s v="Bitmain"/>
    <n v="4"/>
    <s v="12B"/>
    <s v="SW006-A"/>
    <s v="34.5KV"/>
    <s v="XF066"/>
    <n v="20112290375"/>
    <s v="Sunbelt"/>
    <n v="2000"/>
    <s v="OIL"/>
    <s v="Fbox"/>
    <m/>
  </r>
  <r>
    <s v="C131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2"/>
    <s v="Antminer S21"/>
    <s v="Deployed"/>
    <n v="160"/>
    <s v="Bitmain"/>
    <n v="4"/>
    <s v="12B"/>
    <s v="SW006-A"/>
    <s v="34.5KV"/>
    <s v="XF067"/>
    <n v="20112290325"/>
    <s v="Sunbelt"/>
    <n v="2000"/>
    <s v="OIL"/>
    <s v="Fbox"/>
    <m/>
  </r>
  <r>
    <s v="C133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4"/>
    <s v="Antminer S21"/>
    <s v="Deployed"/>
    <n v="160"/>
    <s v="Bitmain"/>
    <n v="4"/>
    <s v="12B"/>
    <s v="SW006-A"/>
    <s v="34.5KV"/>
    <s v="XF068"/>
    <n v="20112290430"/>
    <s v="Sunbelt"/>
    <n v="2000"/>
    <s v="OIL"/>
    <s v="Fbox"/>
    <m/>
  </r>
  <r>
    <s v="C135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6"/>
    <s v="Antminer S21"/>
    <s v="Deployed"/>
    <n v="160"/>
    <s v="Bitmain"/>
    <n v="4"/>
    <s v="12B"/>
    <s v="SW006-A"/>
    <s v="34.5KV"/>
    <s v="XF069"/>
    <n v="20112290372"/>
    <s v="Sunbelt"/>
    <n v="2000"/>
    <s v="OIL"/>
    <s v="Fbox"/>
    <m/>
  </r>
  <r>
    <s v="C137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8"/>
    <s v="Antminer S21"/>
    <s v="Deployed"/>
    <n v="160"/>
    <s v="Bitmain"/>
    <n v="4"/>
    <s v="12B"/>
    <s v="SW006-A"/>
    <s v="34.5KV"/>
    <s v="XF070"/>
    <n v="20112290377"/>
    <s v="Sunbelt"/>
    <n v="2000"/>
    <s v="OIL"/>
    <s v="Fbox"/>
    <m/>
  </r>
  <r>
    <s v="C139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0"/>
    <s v="Antminer S21"/>
    <s v="Deployed"/>
    <n v="160"/>
    <s v="Bitmain"/>
    <n v="4"/>
    <s v="12B"/>
    <s v="SW006-A"/>
    <s v="34.5KV"/>
    <s v="XF071"/>
    <n v="20112290442"/>
    <s v="Sunbelt"/>
    <n v="2000"/>
    <s v="OIL"/>
    <s v="Fbox"/>
    <m/>
  </r>
  <r>
    <s v="C141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2"/>
    <s v="Antminer S21"/>
    <s v="Deployed"/>
    <n v="160"/>
    <s v="Bitmain"/>
    <n v="4"/>
    <s v="12B"/>
    <s v="SW006-A"/>
    <s v="34.5KV"/>
    <s v="XF072"/>
    <n v="20112290333"/>
    <s v="Sunbelt"/>
    <n v="2000"/>
    <s v="OIL"/>
    <s v="Fbox"/>
    <m/>
  </r>
  <r>
    <s v="C143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4"/>
    <s v="Antminer S21"/>
    <s v="Deployed"/>
    <n v="160"/>
    <s v="Bitmain"/>
    <n v="4"/>
    <s v="12B"/>
    <s v="SW006-A"/>
    <s v="34.5KV"/>
    <s v="XF073"/>
    <n v="20112290438"/>
    <s v="Sunbelt"/>
    <n v="2000"/>
    <s v="OIL"/>
    <s v="Fbox"/>
    <m/>
  </r>
  <r>
    <s v="C145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6"/>
    <s v="Antminer S21"/>
    <s v="Deployed"/>
    <n v="160"/>
    <s v="Bitmain"/>
    <n v="4"/>
    <s v="12B"/>
    <s v="SW006-A"/>
    <s v="34.5KV"/>
    <s v="XF074"/>
    <n v="20112290366"/>
    <s v="Sunbelt"/>
    <n v="2000"/>
    <s v="OIL"/>
    <s v="Fbox"/>
    <m/>
  </r>
  <r>
    <s v="C147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8"/>
    <s v="Antminer S21"/>
    <s v="Deployed"/>
    <n v="160"/>
    <s v="Bitmain"/>
    <n v="4"/>
    <s v="12B"/>
    <s v="SW006-B"/>
    <s v="34.5KV"/>
    <s v="XF075"/>
    <n v="20112290352"/>
    <s v="Sunbelt"/>
    <n v="2000"/>
    <s v="OIL"/>
    <s v="Fbox"/>
    <m/>
  </r>
  <r>
    <s v="C149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0"/>
    <s v="Antminer S21"/>
    <s v="Deployed"/>
    <n v="160"/>
    <s v="Bitmain"/>
    <n v="4"/>
    <s v="12B"/>
    <s v="SW006-B"/>
    <s v="34.5KV"/>
    <s v="XF076"/>
    <n v="20112290332"/>
    <s v="Sunbelt"/>
    <n v="2000"/>
    <s v="OIL"/>
    <s v="Fbox"/>
    <m/>
  </r>
  <r>
    <s v="C151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2"/>
    <s v="Antminer S21"/>
    <s v="Deployed"/>
    <n v="160"/>
    <s v="Bitmain"/>
    <n v="4"/>
    <s v="12B"/>
    <s v="SW006-B"/>
    <s v="34.5KV"/>
    <s v="XF077"/>
    <n v="20112290351"/>
    <s v="Sunbelt"/>
    <n v="2000"/>
    <s v="OIL"/>
    <s v="Fbox"/>
    <m/>
  </r>
  <r>
    <s v="C153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4"/>
    <s v="Antminer S21"/>
    <s v="Deployed"/>
    <n v="160"/>
    <s v="Bitmain"/>
    <n v="4"/>
    <s v="12B"/>
    <s v="SW006-B"/>
    <s v="34.5KV"/>
    <s v="XF078"/>
    <n v="20112290358"/>
    <s v="Sunbelt"/>
    <n v="2000"/>
    <s v="OIL"/>
    <s v="Fbox"/>
    <m/>
  </r>
  <r>
    <s v="C155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6"/>
    <s v="Antminer S21"/>
    <s v="Deployed"/>
    <n v="160"/>
    <s v="Bitmain"/>
    <n v="4"/>
    <s v="12B"/>
    <s v="SW006-B"/>
    <s v="34.5KV"/>
    <s v="XF079"/>
    <n v="20112290380"/>
    <s v="Sunbelt"/>
    <n v="2000"/>
    <s v="OIL"/>
    <s v="Fbox"/>
    <m/>
  </r>
  <r>
    <s v="C157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8"/>
    <s v="Antminer S21"/>
    <s v="Deployed"/>
    <n v="160"/>
    <s v="Bitmain"/>
    <n v="4"/>
    <s v="12B"/>
    <s v="SW006-B"/>
    <s v="34.5KV"/>
    <s v="XF080"/>
    <n v="20112290327"/>
    <s v="Sunbelt"/>
    <n v="2000"/>
    <s v="OIL"/>
    <s v="Fbox"/>
    <m/>
  </r>
  <r>
    <s v="C159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0"/>
    <s v="Antminer S21"/>
    <s v="Deployed"/>
    <n v="160"/>
    <s v="Bitmain"/>
    <n v="4"/>
    <s v="12B"/>
    <s v="SW006-B"/>
    <s v="34.5KV"/>
    <s v="XF081"/>
    <n v="20112290388"/>
    <s v="Sunbelt"/>
    <n v="2000"/>
    <s v="OIL"/>
    <s v="Fbox"/>
    <m/>
  </r>
  <r>
    <s v="C161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2"/>
    <s v="Antminer S21"/>
    <s v="Deployed"/>
    <n v="160"/>
    <s v="Bitmain"/>
    <n v="4"/>
    <s v="12B"/>
    <s v="SW006-B"/>
    <s v="34.5KV"/>
    <s v="XF082"/>
    <s v="M21F19629"/>
    <s v="Sunbelt"/>
    <n v="2000"/>
    <s v="OIL"/>
    <s v="Fbox"/>
    <m/>
  </r>
  <r>
    <s v="C163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4"/>
    <s v="Antminer S21"/>
    <s v="Deployed"/>
    <n v="160"/>
    <s v="Bitmain"/>
    <n v="4"/>
    <s v="12B"/>
    <s v="SW006-B"/>
    <s v="34.5KV"/>
    <s v="XF083"/>
    <n v="20112290408"/>
    <s v="Sunbelt"/>
    <n v="2000"/>
    <s v="OIL"/>
    <s v="Fbox"/>
    <m/>
  </r>
  <r>
    <s v="C165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6"/>
    <s v="Antminer S21"/>
    <s v="Deployed"/>
    <n v="160"/>
    <s v="Bitmain"/>
    <n v="4"/>
    <s v="12B"/>
    <s v="SW006-B"/>
    <s v="34.5KV"/>
    <s v="XF084"/>
    <s v="M21F19617"/>
    <s v="Sunbelt"/>
    <n v="2000"/>
    <s v="OIL"/>
    <s v="Fbox"/>
    <m/>
  </r>
  <r>
    <s v="C167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8"/>
    <s v="Antminer S21"/>
    <s v="Deployed"/>
    <n v="160"/>
    <s v="Bitmain"/>
    <n v="5"/>
    <s v="12C"/>
    <s v="SW007-A"/>
    <s v="34.5KV"/>
    <s v="XF085"/>
    <s v="M21F19615"/>
    <s v="Sunbelt"/>
    <n v="2000"/>
    <s v="OIL"/>
    <s v="Fbox"/>
    <m/>
  </r>
  <r>
    <s v="C169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0"/>
    <s v="Antminer S21"/>
    <s v="Deployed"/>
    <n v="160"/>
    <s v="Bitmain"/>
    <n v="5"/>
    <s v="12C"/>
    <s v="SW007-A"/>
    <s v="34.5KV"/>
    <s v="XF086"/>
    <s v="JC2550-22125"/>
    <s v="JCL Energy"/>
    <n v="2600"/>
    <s v="FR3"/>
    <s v="Fbox"/>
    <m/>
  </r>
  <r>
    <s v="C171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2"/>
    <s v="Antminer S21"/>
    <s v="Deployed"/>
    <n v="160"/>
    <s v="Bitmain"/>
    <n v="5"/>
    <s v="12C"/>
    <s v="SW007-A"/>
    <s v="34.5KV"/>
    <s v="XF087"/>
    <s v="M21F19625"/>
    <s v="Sunbelt"/>
    <n v="2000"/>
    <s v="OIL"/>
    <s v="Fbox"/>
    <m/>
  </r>
  <r>
    <s v="C173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4"/>
    <s v="Antminer S21"/>
    <s v="Deployed"/>
    <n v="160"/>
    <s v="Bitmain"/>
    <n v="5"/>
    <s v="12C"/>
    <s v="SW007-A"/>
    <s v="34.5KV"/>
    <s v="XF088"/>
    <s v="M21F19310"/>
    <s v="Sunbelt"/>
    <n v="2000"/>
    <s v="OIL"/>
    <s v="Fbox"/>
    <m/>
  </r>
  <r>
    <s v="C175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6"/>
    <s v="Antminer S21"/>
    <s v="Deployed"/>
    <n v="160"/>
    <s v="Bitmain"/>
    <n v="5"/>
    <s v="12C"/>
    <s v="SW007-A"/>
    <s v="34.5KV"/>
    <s v="XF089"/>
    <s v="JC2550-22123"/>
    <s v="JCL Energy"/>
    <n v="2600"/>
    <s v="FR3"/>
    <s v="Fbox"/>
    <m/>
  </r>
  <r>
    <s v="C177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8"/>
    <s v="Antminer S21"/>
    <s v="Deployed"/>
    <n v="160"/>
    <s v="Bitmain"/>
    <n v="5"/>
    <s v="12C"/>
    <s v="SW007-A"/>
    <s v="34.5KV"/>
    <s v="XF090"/>
    <s v="JC2550-22117"/>
    <s v="JCL Energy"/>
    <n v="2600"/>
    <s v="FR3"/>
    <s v="Fbox"/>
    <m/>
  </r>
  <r>
    <s v="C179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0"/>
    <s v="Antminer S21"/>
    <s v="Deployed"/>
    <n v="160"/>
    <s v="Bitmain"/>
    <n v="5"/>
    <s v="12C"/>
    <s v="SW007-A"/>
    <s v="34.5KV"/>
    <s v="XF091"/>
    <s v="JC2550-22130"/>
    <s v="JCL Energy"/>
    <n v="2600"/>
    <s v="FR3"/>
    <s v="Fbox"/>
    <m/>
  </r>
  <r>
    <s v="C181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2"/>
    <s v="Antminer S21"/>
    <s v="Deployed"/>
    <n v="160"/>
    <s v="Bitmain"/>
    <n v="5"/>
    <s v="12C"/>
    <s v="SW007-A"/>
    <s v="34.5KV"/>
    <s v="XF092"/>
    <s v="JC2550-22120"/>
    <s v="JCL Energy"/>
    <n v="2600"/>
    <s v="FR3"/>
    <s v="Fbox"/>
    <m/>
  </r>
  <r>
    <s v="C183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4"/>
    <s v="Antminer S21"/>
    <s v="Deployed"/>
    <n v="160"/>
    <s v="Bitmain"/>
    <n v="5"/>
    <s v="12C"/>
    <s v="SW007-A"/>
    <s v="34.5KV"/>
    <s v="XF093"/>
    <s v="M22D18708"/>
    <s v="Sunbelt"/>
    <n v="2000"/>
    <s v="OIL"/>
    <s v="Fbox"/>
    <m/>
  </r>
  <r>
    <s v="C185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6"/>
    <s v="** NOT USED **"/>
    <s v="Offline"/>
    <m/>
    <s v="** NOT USED **"/>
    <n v="5"/>
    <s v="12C"/>
    <s v="SW007-A"/>
    <s v="34.5KV"/>
    <s v="XF094"/>
    <m/>
    <m/>
    <m/>
    <m/>
    <s v="Fbox"/>
    <s v="Not used due to power limitations of the substation transformer/HV cables"/>
  </r>
  <r>
    <s v="C187"/>
    <s v="** NOT USED **"/>
    <s v="Offline"/>
    <m/>
    <s v="** NOT USED **"/>
    <n v="5"/>
    <s v="12C"/>
    <s v="SW007-A"/>
    <s v="34.5KV"/>
    <s v="*****"/>
    <s v="**********"/>
    <s v="**********"/>
    <s v="*****"/>
    <m/>
    <s v="Fbox"/>
    <s v="Not used due to power limitations of the substation transformer/HV cables"/>
  </r>
  <r>
    <s v="C188"/>
    <s v="Whatsminer M60S"/>
    <s v="Deployed"/>
    <n v="486"/>
    <s v="MicroBT"/>
    <m/>
    <s v="24C"/>
    <s v="N/A"/>
    <s v="13.8KV"/>
    <s v="XF095"/>
    <s v="M22B19432"/>
    <s v="Sunbelt"/>
    <n v="2000"/>
    <s v="OIL"/>
    <s v="RK"/>
    <m/>
  </r>
  <r>
    <s v="C189"/>
    <s v="Antminer S21"/>
    <s v="Deployed"/>
    <n v="160"/>
    <s v="Bitmain"/>
    <n v="5"/>
    <s v="12C"/>
    <s v="SW007-B"/>
    <s v="34.5KV"/>
    <s v="XF096"/>
    <s v="JC2550-22119"/>
    <s v="JCL Energy"/>
    <n v="2600"/>
    <s v="FR3"/>
    <s v="Fbox"/>
    <m/>
  </r>
  <r>
    <s v="C190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1"/>
    <s v="Antminer S21"/>
    <s v="Deployed"/>
    <n v="160"/>
    <s v="Bitmain"/>
    <n v="5"/>
    <s v="12C"/>
    <s v="SW007-B"/>
    <s v="34.5KV"/>
    <s v="XF097"/>
    <s v="JCL2550-22128"/>
    <s v="JCL Energy"/>
    <n v="2550"/>
    <s v="FR3"/>
    <s v="Fbox"/>
    <m/>
  </r>
  <r>
    <s v="C192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3"/>
    <s v="Antminer S21"/>
    <s v="Deployed"/>
    <n v="160"/>
    <s v="Bitmain"/>
    <n v="5"/>
    <s v="12C"/>
    <s v="SW007-B"/>
    <s v="34.5KV"/>
    <s v="XF098"/>
    <s v="M21F19630"/>
    <s v="Sunbelt"/>
    <n v="2000"/>
    <s v="OIL"/>
    <s v="Fbox"/>
    <m/>
  </r>
  <r>
    <s v="C194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5"/>
    <s v="Antminer S21"/>
    <s v="Deployed"/>
    <n v="160"/>
    <s v="Bitmain"/>
    <n v="5"/>
    <s v="12C"/>
    <s v="SW007-B"/>
    <s v="34.5KV"/>
    <s v="XF099"/>
    <s v="M21F19308"/>
    <s v="Sunbelt"/>
    <n v="2000"/>
    <s v="OIL"/>
    <s v="Fbox"/>
    <m/>
  </r>
  <r>
    <s v="C196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7"/>
    <s v="Antminer S21"/>
    <s v="Deployed"/>
    <n v="160"/>
    <s v="Bitmain"/>
    <n v="5"/>
    <s v="12C"/>
    <s v="SW007-B"/>
    <s v="34.5KV"/>
    <s v="XF100"/>
    <s v="M22D24608"/>
    <s v="Sunbelt"/>
    <n v="2000"/>
    <s v="OIL"/>
    <s v="Fbox"/>
    <m/>
  </r>
  <r>
    <s v="C198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9"/>
    <s v="Antminer S21"/>
    <s v="Deployed"/>
    <n v="160"/>
    <s v="Bitmain"/>
    <n v="5"/>
    <s v="12C"/>
    <s v="SW007-B"/>
    <s v="34.5KV"/>
    <s v="XF101"/>
    <s v="M22D24606"/>
    <s v="Sunbelt"/>
    <n v="2000"/>
    <s v="OIL"/>
    <s v="Fbox"/>
    <m/>
  </r>
  <r>
    <s v="C200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1"/>
    <s v="Antminer S21"/>
    <s v="Deployed"/>
    <n v="160"/>
    <s v="Bitmain"/>
    <n v="5"/>
    <s v="12C"/>
    <s v="SW007-B"/>
    <s v="34.5KV"/>
    <s v="XF102"/>
    <s v="M22E11697"/>
    <s v="Sunbelt"/>
    <n v="2000"/>
    <s v="OIL"/>
    <s v="Fbox"/>
    <m/>
  </r>
  <r>
    <s v="C202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3"/>
    <s v="Antminer S21"/>
    <s v="Deployed"/>
    <n v="160"/>
    <s v="Bitmain"/>
    <n v="5"/>
    <s v="12C"/>
    <s v="SW007-B"/>
    <s v="34.5KV"/>
    <s v="XF103"/>
    <s v="JC2550-22124"/>
    <s v="JCL Energy"/>
    <n v="2550"/>
    <s v="FR3"/>
    <s v="Fbox"/>
    <m/>
  </r>
  <r>
    <s v="C204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5"/>
    <s v="Antminer S21"/>
    <s v="Deployed"/>
    <n v="160"/>
    <s v="Bitmain"/>
    <n v="5"/>
    <s v="12C"/>
    <s v="SW007-B"/>
    <s v="34.5KV"/>
    <s v="XF104"/>
    <s v="M22D24610"/>
    <s v="Sunbelt"/>
    <n v="2000"/>
    <s v="OIL"/>
    <s v="Fbox"/>
    <m/>
  </r>
  <r>
    <s v="C206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7"/>
    <s v="** NOT USED **"/>
    <s v="Offline"/>
    <m/>
    <s v="** NOT USED **"/>
    <n v="5"/>
    <s v="12C"/>
    <s v="SW007-B"/>
    <s v="34.5KV"/>
    <s v="XF105"/>
    <m/>
    <m/>
    <m/>
    <m/>
    <s v="Fbox"/>
    <s v="Not used due to power limitations of the substation transformer/HV cables"/>
  </r>
  <r>
    <s v="C208"/>
    <s v="** NOT USED **"/>
    <s v="Offline"/>
    <m/>
    <s v="** NOT USED **"/>
    <n v="5"/>
    <s v="12C"/>
    <s v="SW007-B"/>
    <s v="34.5KV"/>
    <s v="*****"/>
    <s v="**********"/>
    <s v="**********"/>
    <s v="*****"/>
    <m/>
    <s v="Fbox"/>
    <s v="Not used due to power limitations of the substation transformer/HV cables"/>
  </r>
  <r>
    <s v="C209"/>
    <s v="Whatsminer M60S"/>
    <s v="Deployed"/>
    <n v="486"/>
    <s v="MicroBT"/>
    <m/>
    <s v="24B"/>
    <s v="N/A"/>
    <s v="13.8KV"/>
    <s v="XF106"/>
    <s v="M22A16812"/>
    <s v="Sunbelt"/>
    <n v="2000"/>
    <s v="OIL"/>
    <s v="RK"/>
    <m/>
  </r>
  <r>
    <s v="C210"/>
    <s v="Empty"/>
    <s v="Offline"/>
    <m/>
    <s v="Bitmain"/>
    <m/>
    <s v="24C"/>
    <s v="N/A"/>
    <s v="13.8KV"/>
    <s v="XF107"/>
    <s v="M22A10210"/>
    <s v="Sunbelt"/>
    <n v="2000"/>
    <s v="OIL"/>
    <s v="RK"/>
    <s v="Power off when phase 6 energized."/>
  </r>
  <r>
    <s v="C211"/>
    <s v="Antminer S21"/>
    <s v="Deployed"/>
    <n v="160"/>
    <s v="Bitmain"/>
    <n v="6"/>
    <s v="21A"/>
    <s v="N/A"/>
    <s v="13.8KV"/>
    <s v="XF108"/>
    <n v="82413877774"/>
    <s v="Sunbelt"/>
    <n v="2000"/>
    <s v="OIL"/>
    <s v="Fbox"/>
    <s v="M22A29009 Changed it out. 1/7/25"/>
  </r>
  <r>
    <s v="C212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3"/>
    <s v="Antminer S21"/>
    <s v="Deployed"/>
    <n v="160"/>
    <s v="Bitmain"/>
    <n v="6"/>
    <s v="21A"/>
    <s v="N/A"/>
    <s v="13.8KV"/>
    <s v="XF109"/>
    <s v="M22A10212"/>
    <s v="Sunbelt"/>
    <n v="2000"/>
    <s v="OIL"/>
    <s v="Fbox"/>
    <m/>
  </r>
  <r>
    <s v="C214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5"/>
    <s v="Antminer S21"/>
    <s v="Deployed"/>
    <n v="160"/>
    <s v="Bitmain"/>
    <n v="6"/>
    <s v="21A"/>
    <s v="N/A"/>
    <s v="13.8KV"/>
    <s v="XF110"/>
    <n v="92413908002"/>
    <s v="Sunbelt"/>
    <n v="2500"/>
    <s v="OIL"/>
    <s v="Fbox"/>
    <m/>
  </r>
  <r>
    <s v="C216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7"/>
    <s v="Antminer S21"/>
    <s v="Deployed"/>
    <n v="160"/>
    <s v="Bitmain"/>
    <n v="6"/>
    <s v="21A"/>
    <s v="N/A"/>
    <s v="13.8KV"/>
    <s v="XF111"/>
    <s v="M22B19444"/>
    <s v="Sunbelt"/>
    <n v="2000"/>
    <s v="OIL"/>
    <s v="Fbox"/>
    <m/>
  </r>
  <r>
    <s v="C218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9"/>
    <s v="Antminer S21"/>
    <s v="Deployed"/>
    <n v="160"/>
    <s v="Bitmain"/>
    <n v="6"/>
    <s v="21A"/>
    <s v="N/A"/>
    <s v="13.8KV"/>
    <s v="XF112"/>
    <s v="M22A16802"/>
    <s v="Sunbelt"/>
    <n v="2000"/>
    <s v="OIL"/>
    <s v="Fbox"/>
    <m/>
  </r>
  <r>
    <s v="C220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21"/>
    <s v="Antminer S21"/>
    <s v="Deployed"/>
    <n v="160"/>
    <s v="Bitmain"/>
    <n v="6"/>
    <s v="21A"/>
    <s v="N/A"/>
    <s v="13.8KV"/>
    <s v="XF113"/>
    <s v="M22A16804"/>
    <s v="Sunbelt"/>
    <n v="2000"/>
    <s v="OIL"/>
    <s v="Fbox"/>
    <m/>
  </r>
  <r>
    <s v="C222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23"/>
    <s v="Whatsminer M60S"/>
    <s v="Deployed"/>
    <n v="486"/>
    <s v="MicroBT"/>
    <m/>
    <s v="23C"/>
    <s v="N/A"/>
    <s v="13.8KV"/>
    <s v="XF114"/>
    <s v="M22A16795"/>
    <s v="Sunbelt"/>
    <n v="2000"/>
    <s v="OIL"/>
    <s v="RK"/>
    <m/>
  </r>
  <r>
    <s v="C224"/>
    <s v="Whatsminer M60S"/>
    <s v="Deployed"/>
    <n v="486"/>
    <s v="MicroBT"/>
    <m/>
    <s v="24A"/>
    <s v="N/A"/>
    <s v="13.8KV"/>
    <s v="XF115"/>
    <s v="M22A10214"/>
    <s v="Sunbelt"/>
    <n v="2000"/>
    <s v="OIL"/>
    <s v="RK"/>
    <m/>
  </r>
  <r>
    <s v="C225"/>
    <s v="Empty"/>
    <s v="Offline"/>
    <m/>
    <s v="Bitmain"/>
    <m/>
    <s v="24B"/>
    <s v="N/A"/>
    <s v="13.8KV"/>
    <s v="XF116"/>
    <s v="M22A29005"/>
    <s v="Sunbelt"/>
    <n v="2000"/>
    <s v="OIL"/>
    <s v="RK"/>
    <s v="Power off when phase 6 energized."/>
  </r>
  <r>
    <s v="C226"/>
    <s v="Whatsminer M60S"/>
    <s v="Deployed"/>
    <n v="486"/>
    <s v="MicroBT"/>
    <m/>
    <s v="24C"/>
    <s v="N/A"/>
    <s v="13.8KV"/>
    <s v="XF117"/>
    <s v="M22B19443"/>
    <s v="Sunbelt"/>
    <n v="2000"/>
    <s v="OIL"/>
    <s v="RK"/>
    <m/>
  </r>
  <r>
    <s v="C227"/>
    <s v="Antminer S21"/>
    <s v="Deployed"/>
    <n v="160"/>
    <s v="Bitmain"/>
    <n v="6"/>
    <s v="21B"/>
    <s v="N/A"/>
    <s v="13.8KV"/>
    <s v="XF118"/>
    <n v="82212836989"/>
    <s v="Sunbelt"/>
    <n v="2000"/>
    <s v="FR3"/>
    <s v="Fbox"/>
    <m/>
  </r>
  <r>
    <s v="C228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29"/>
    <s v="Antminer S21"/>
    <s v="Deployed"/>
    <n v="160"/>
    <s v="Bitmain"/>
    <n v="6"/>
    <s v="21B"/>
    <s v="N/A"/>
    <s v="13.8KV"/>
    <s v="XF119"/>
    <n v="82212836990"/>
    <s v="Sunbelt"/>
    <n v="2000"/>
    <s v="FR3"/>
    <s v="Fbox"/>
    <m/>
  </r>
  <r>
    <s v="C230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1"/>
    <s v="Antminer S21"/>
    <s v="Deployed"/>
    <n v="160"/>
    <s v="Bitmain"/>
    <n v="6"/>
    <s v="21B"/>
    <s v="N/A"/>
    <s v="13.8KV"/>
    <s v="XF120"/>
    <s v="124021162A"/>
    <s v="Sunbelt"/>
    <n v="2000"/>
    <s v="OIL"/>
    <s v="Fbox"/>
    <m/>
  </r>
  <r>
    <s v="C232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3"/>
    <s v="Antminer S21"/>
    <s v="Deployed"/>
    <n v="160"/>
    <s v="Bitmain"/>
    <n v="6"/>
    <s v="21B"/>
    <s v="N/A"/>
    <s v="13.8KV"/>
    <s v="XF121"/>
    <s v="M22A29008"/>
    <s v="Sunbelt"/>
    <n v="2000"/>
    <s v="OIL"/>
    <s v="Fbox"/>
    <m/>
  </r>
  <r>
    <s v="C234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5"/>
    <s v="Antminer S21"/>
    <s v="Deployed"/>
    <n v="160"/>
    <s v="Bitmain"/>
    <n v="6"/>
    <s v="21B"/>
    <s v="N/A"/>
    <s v="13.8KV"/>
    <s v="XF122"/>
    <s v="M22A16803"/>
    <s v="Sunbelt"/>
    <n v="2000"/>
    <s v="OIL"/>
    <s v="Fbox"/>
    <m/>
  </r>
  <r>
    <s v="C236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7"/>
    <s v="Antminer S21"/>
    <s v="Deployed"/>
    <n v="160"/>
    <s v="Bitmain"/>
    <n v="6"/>
    <s v="21B"/>
    <s v="N/A"/>
    <s v="13.8KV"/>
    <s v="XF123"/>
    <s v="M22A16805"/>
    <s v="Sunbelt"/>
    <n v="2000"/>
    <s v="OIL"/>
    <s v="Fbox"/>
    <m/>
  </r>
  <r>
    <s v="C238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9"/>
    <s v="Whatsminer M60"/>
    <s v="Deployed"/>
    <n v="486"/>
    <s v="MicroBT"/>
    <m/>
    <s v="23C"/>
    <s v="N/A"/>
    <s v="13.8KV"/>
    <s v="XF124"/>
    <s v="M22A10161"/>
    <s v="Sunbelt"/>
    <n v="2000"/>
    <s v="OIL"/>
    <s v="RK"/>
    <m/>
  </r>
  <r>
    <s v="C240"/>
    <s v="Empty"/>
    <s v="Offline"/>
    <m/>
    <s v="Bitmain"/>
    <m/>
    <s v="24A"/>
    <s v="N/A"/>
    <s v="13.8KV"/>
    <s v="XF125"/>
    <s v="M21K19177"/>
    <s v="Sunbelt"/>
    <n v="2000"/>
    <s v="OIL"/>
    <s v="RK"/>
    <s v="Power off when phase 6 energized."/>
  </r>
  <r>
    <s v="C241"/>
    <s v="Whatsminer M60S"/>
    <s v="Deployed"/>
    <n v="486"/>
    <s v="MicroBT"/>
    <m/>
    <s v="24B"/>
    <s v="N/A"/>
    <s v="13.8KV"/>
    <s v="XF126"/>
    <s v="M22A29004"/>
    <s v="Sunbelt"/>
    <n v="2000"/>
    <s v="OIL"/>
    <s v="RK"/>
    <m/>
  </r>
  <r>
    <s v="C242"/>
    <s v="Whatsminer M60S"/>
    <s v="Deployed"/>
    <n v="486"/>
    <s v="MicroBT"/>
    <m/>
    <s v="24C"/>
    <s v="N/A"/>
    <s v="13.8KV"/>
    <s v="XF127"/>
    <s v="124036253A"/>
    <s v="Sunbelt"/>
    <n v="2000"/>
    <s v="OIL"/>
    <s v="RK"/>
    <m/>
  </r>
  <r>
    <s v="C243"/>
    <s v="Empty"/>
    <s v="Offline"/>
    <m/>
    <s v="Bitmain"/>
    <m/>
    <s v="21C"/>
    <s v="N/A"/>
    <s v="13.8KV"/>
    <s v="XF128"/>
    <s v="M22A16793"/>
    <s v="Sunbelt"/>
    <n v="2000"/>
    <s v="OIL"/>
    <s v="RK"/>
    <s v="Power off when phase 6 energized."/>
  </r>
  <r>
    <s v="C244"/>
    <s v="Empty"/>
    <s v="Offline"/>
    <m/>
    <s v="Bitmain"/>
    <m/>
    <s v="22A"/>
    <s v="N/A"/>
    <s v="13.8KV"/>
    <s v="XF129"/>
    <s v="M22A16794"/>
    <s v="Sunbelt"/>
    <n v="2000"/>
    <s v="OIL"/>
    <s v="RK"/>
    <s v="Power off when phase 6 energized."/>
  </r>
  <r>
    <s v="C245"/>
    <s v="Whatsminer M60 / M60S"/>
    <s v="Deployed"/>
    <n v="486"/>
    <s v="MicroBT"/>
    <m/>
    <s v="22B"/>
    <s v="N/A"/>
    <s v="13.8KV"/>
    <s v="XF130"/>
    <s v="M22A10215"/>
    <s v="Sunbelt"/>
    <n v="2000"/>
    <s v="OIL"/>
    <s v="RK"/>
    <m/>
  </r>
  <r>
    <s v="C246"/>
    <s v="Empty"/>
    <s v="Offline"/>
    <m/>
    <s v="Bitmain"/>
    <m/>
    <s v="22C"/>
    <s v="N/A"/>
    <s v="13.8KV"/>
    <s v="XF131"/>
    <s v="M22A29007"/>
    <s v="Sunbelt"/>
    <n v="2000"/>
    <s v="OIL"/>
    <s v="RK"/>
    <s v="Power off when phase 6 energized."/>
  </r>
  <r>
    <s v="C247"/>
    <s v="Whatsminer M60 / M60S"/>
    <s v="Deployed"/>
    <n v="486"/>
    <s v="MicroBT"/>
    <m/>
    <s v="23A"/>
    <s v="N/A"/>
    <s v="13.8KV"/>
    <s v="XF132"/>
    <s v="M22A16797"/>
    <s v="Sunbelt"/>
    <n v="2000"/>
    <s v="OIL"/>
    <s v="RK"/>
    <m/>
  </r>
  <r>
    <s v="C248"/>
    <s v="Whatsminer M60 / M60S"/>
    <s v="Deployed"/>
    <n v="560"/>
    <s v="Bitmain"/>
    <m/>
    <s v="23B"/>
    <s v="N/A"/>
    <s v="13.8KV"/>
    <s v="XF133"/>
    <s v="M22B19449"/>
    <s v="Sunbelt"/>
    <n v="2000"/>
    <s v="OIL"/>
    <s v="RK"/>
    <m/>
  </r>
  <r>
    <s v="C249"/>
    <s v="Whatsminer M60S"/>
    <s v="Deployed"/>
    <n v="486"/>
    <s v="MicroBT"/>
    <m/>
    <s v="23C"/>
    <s v="N/A"/>
    <s v="13.8KV"/>
    <s v="XF134"/>
    <s v="M22A10162"/>
    <s v="Sunbelt"/>
    <n v="2000"/>
    <s v="OIL"/>
    <s v="RK"/>
    <m/>
  </r>
  <r>
    <s v="C250"/>
    <s v="Whatsminer M60 / M60S"/>
    <s v="Deployed"/>
    <n v="486"/>
    <s v="MicroBT"/>
    <m/>
    <s v="24A"/>
    <s v="N/A"/>
    <s v="13.8KV"/>
    <s v="XF135"/>
    <s v="124036254A"/>
    <s v="Sunbelt"/>
    <n v="2000"/>
    <s v="OIL"/>
    <s v="RK"/>
    <m/>
  </r>
  <r>
    <s v="C251"/>
    <s v="Whatsminer M60"/>
    <s v="Deployed"/>
    <n v="486"/>
    <s v="MicroBT"/>
    <m/>
    <s v="24B"/>
    <s v="N/A"/>
    <s v="13.8KV"/>
    <s v="XF136"/>
    <s v="M22A29012"/>
    <s v="Sunbelt"/>
    <n v="2000"/>
    <s v="OIL"/>
    <s v="RK"/>
    <m/>
  </r>
  <r>
    <s v="C252"/>
    <s v="Whatsminer M60"/>
    <s v="Deployed"/>
    <n v="486"/>
    <s v="MicroBT"/>
    <m/>
    <s v="24C"/>
    <s v="N/A"/>
    <s v="13.8KV"/>
    <s v="XF137"/>
    <s v="M22A29011"/>
    <s v="Sunbelt"/>
    <n v="2000"/>
    <s v="OIL"/>
    <s v="RK"/>
    <m/>
  </r>
  <r>
    <s v="C253"/>
    <s v="Whatsminer M60 / M60S"/>
    <s v="Deployed"/>
    <n v="486"/>
    <s v="MicroBT"/>
    <m/>
    <s v="21C"/>
    <s v="N/A"/>
    <s v="13.8KV"/>
    <s v="XF138"/>
    <s v="M22A29003"/>
    <s v="Sunbelt"/>
    <n v="2000"/>
    <s v="OIL"/>
    <s v="RK"/>
    <m/>
  </r>
  <r>
    <s v="C254"/>
    <s v="Whatsminer M60 / M60S"/>
    <s v="Deployed"/>
    <n v="486"/>
    <s v="MicroBT"/>
    <m/>
    <s v="22A"/>
    <s v="N/A"/>
    <s v="13.8KV"/>
    <s v="XF139"/>
    <s v="M22A10213"/>
    <s v="Sunbelt"/>
    <n v="2000"/>
    <s v="OIL"/>
    <s v="RK"/>
    <m/>
  </r>
  <r>
    <s v="C255"/>
    <s v="Whatsminer M60 / M60S"/>
    <s v="Deployed"/>
    <n v="486"/>
    <s v="MicroBT"/>
    <m/>
    <s v="22B"/>
    <s v="N/A"/>
    <s v="13.8KV"/>
    <s v="XF140"/>
    <s v="M22A29010"/>
    <s v="Sunbelt"/>
    <n v="2000"/>
    <s v="OIL"/>
    <s v="RK"/>
    <m/>
  </r>
  <r>
    <s v="C256"/>
    <s v="Whatsminer M60 / M60S"/>
    <s v="Deployed"/>
    <n v="486"/>
    <s v="MicroBT"/>
    <m/>
    <s v="22C"/>
    <s v="N/A"/>
    <s v="13.8KV"/>
    <s v="XF141"/>
    <s v="M22B19433"/>
    <s v="Sunbelt"/>
    <n v="2000"/>
    <s v="OIL"/>
    <s v="RK"/>
    <m/>
  </r>
  <r>
    <s v="C257"/>
    <s v="Whatsminer M60 / M60S"/>
    <s v="Deployed"/>
    <n v="486"/>
    <s v="MicroBT"/>
    <m/>
    <s v="23A"/>
    <s v="N/A"/>
    <s v="13.8KV"/>
    <s v="XF142"/>
    <s v="M21L18180"/>
    <s v="Sunbelt"/>
    <n v="2000"/>
    <s v="OIL"/>
    <s v="RK"/>
    <m/>
  </r>
  <r>
    <s v="C258"/>
    <s v="Whatsminer M60S"/>
    <s v="Deployed"/>
    <n v="486"/>
    <s v="MicroBT"/>
    <m/>
    <s v="23B"/>
    <s v="N/A"/>
    <s v="13.8KV"/>
    <s v="XF143"/>
    <s v="M21L18176"/>
    <s v="Sunbelt"/>
    <n v="2000"/>
    <s v="OIL"/>
    <s v="RK"/>
    <m/>
  </r>
  <r>
    <s v="C259"/>
    <s v="Whatsminer M60S"/>
    <s v="Deployed"/>
    <n v="486"/>
    <s v="MicroBT"/>
    <m/>
    <s v="23C"/>
    <s v="N/A"/>
    <s v="13.8KV"/>
    <s v="XF144"/>
    <s v="M22B19447"/>
    <s v="Sunbelt"/>
    <n v="2000"/>
    <s v="OIL"/>
    <s v="RK"/>
    <m/>
  </r>
  <r>
    <s v="C260"/>
    <s v="Whatsminer M60S"/>
    <s v="Deployed"/>
    <n v="486"/>
    <s v="MicroBT"/>
    <m/>
    <s v="24A"/>
    <s v="N/A"/>
    <s v="13.8KV"/>
    <s v="XF145"/>
    <s v="M21L18174"/>
    <s v="Sunbelt"/>
    <n v="2000"/>
    <s v="OIL"/>
    <s v="RK"/>
    <m/>
  </r>
  <r>
    <s v="C261"/>
    <s v="Whatsminer M60 / M60S"/>
    <s v="Deployed"/>
    <n v="486"/>
    <s v="MicroBT"/>
    <m/>
    <s v="24B"/>
    <s v="N/A"/>
    <s v="13.8KV"/>
    <s v="XF146"/>
    <s v="M21K19172"/>
    <s v="Sunbelt"/>
    <n v="2000"/>
    <s v="OIL"/>
    <s v="RK"/>
    <m/>
  </r>
  <r>
    <s v="C262"/>
    <s v="Whatsminer M60S"/>
    <s v="Deployed"/>
    <n v="486"/>
    <s v="MicroBT"/>
    <m/>
    <s v="24C"/>
    <s v="N/A"/>
    <s v="13.8KV"/>
    <s v="XF147"/>
    <s v="M22B19448"/>
    <s v="Sunbelt"/>
    <n v="2000"/>
    <s v="OIL"/>
    <s v="RK"/>
    <m/>
  </r>
  <r>
    <s v="C263"/>
    <s v="Whatsminer M60S"/>
    <s v="Deployed"/>
    <n v="486"/>
    <s v="MicroBT"/>
    <m/>
    <s v="21C"/>
    <s v="N/A"/>
    <s v="13.8KV"/>
    <s v="XF148"/>
    <s v="M22B19434"/>
    <s v="Sunbelt"/>
    <n v="2000"/>
    <s v="OIL"/>
    <s v="RK"/>
    <m/>
  </r>
  <r>
    <s v="C264"/>
    <s v="Whatsminer M60 / M60S"/>
    <s v="Deployed"/>
    <n v="486"/>
    <s v="MicroBT"/>
    <m/>
    <s v="22A"/>
    <s v="N/A"/>
    <s v="13.8KV"/>
    <s v="XF149"/>
    <s v="M22A10160"/>
    <s v="Sunbelt"/>
    <n v="2000"/>
    <s v="OIL"/>
    <s v="RK"/>
    <m/>
  </r>
  <r>
    <s v="C265"/>
    <s v="Whatsminer M60"/>
    <s v="Deployed"/>
    <n v="486"/>
    <s v="MicroBT"/>
    <m/>
    <s v="22B"/>
    <s v="N/A"/>
    <s v="13.8KV"/>
    <s v="XF150"/>
    <s v="M22B20197"/>
    <s v="Sunbelt"/>
    <n v="2000"/>
    <s v="OIL"/>
    <s v="RK"/>
    <m/>
  </r>
  <r>
    <s v="C266"/>
    <s v="Whatsminer M60 / M60S"/>
    <s v="Deployed"/>
    <n v="486"/>
    <s v="MicroBT"/>
    <m/>
    <s v="22C"/>
    <s v="N/A"/>
    <s v="13.8KV"/>
    <s v="XF151"/>
    <s v="M22A29002"/>
    <s v="Sunbelt"/>
    <n v="2000"/>
    <s v="OIL"/>
    <s v="RK"/>
    <m/>
  </r>
  <r>
    <s v="C267"/>
    <s v="Whatsminer M60S"/>
    <s v="Deployed"/>
    <n v="486"/>
    <s v="MicroBT"/>
    <m/>
    <s v="23A"/>
    <s v="N/A"/>
    <s v="13.8KV"/>
    <s v="XF152"/>
    <s v="M21L18179"/>
    <s v="Sunbelt"/>
    <n v="2000"/>
    <s v="OIL"/>
    <s v="RK"/>
    <m/>
  </r>
  <r>
    <s v="C268"/>
    <s v="Whatsminer M60S"/>
    <s v="Deployed"/>
    <n v="486"/>
    <s v="MicroBT"/>
    <m/>
    <s v="23B"/>
    <s v="N/A"/>
    <s v="13.8KV"/>
    <s v="XF153"/>
    <s v="M21L18178"/>
    <s v="Sunbelt"/>
    <n v="2000"/>
    <s v="OIL"/>
    <s v="RK"/>
    <m/>
  </r>
  <r>
    <s v="C269"/>
    <s v="Whatsminer M60S"/>
    <s v="Deployed"/>
    <n v="486"/>
    <s v="MicroBT"/>
    <m/>
    <s v="23C"/>
    <s v="N/A"/>
    <s v="13.8KV"/>
    <s v="XF154"/>
    <s v="M21K19176"/>
    <s v="Sunbelt"/>
    <n v="2000"/>
    <s v="OIL"/>
    <s v="RK"/>
    <m/>
  </r>
  <r>
    <s v="C270"/>
    <s v="Whatsminer M60S"/>
    <s v="Deployed"/>
    <n v="486"/>
    <s v="MicroBT"/>
    <m/>
    <s v="24A"/>
    <s v="N/A"/>
    <s v="13.8KV"/>
    <s v="XF155"/>
    <s v="M22A29006"/>
    <s v="Sunbelt"/>
    <n v="2000"/>
    <s v="OIL"/>
    <s v="RK"/>
    <m/>
  </r>
  <r>
    <s v="C271"/>
    <s v="Whatsminer M60S"/>
    <s v="Deployed"/>
    <n v="486"/>
    <s v="MicroBT"/>
    <m/>
    <s v="21C"/>
    <s v="N/A"/>
    <s v="13.8KV"/>
    <s v="XF156"/>
    <s v="M21K19174"/>
    <s v="Sunbelt"/>
    <n v="2000"/>
    <s v="OIL"/>
    <s v="RK"/>
    <m/>
  </r>
  <r>
    <s v="C272"/>
    <s v="Whatsminer M60S"/>
    <s v="Deployed"/>
    <n v="486"/>
    <s v="MicroBT"/>
    <m/>
    <s v="22A"/>
    <s v="N/A"/>
    <s v="13.8KV"/>
    <s v="XF157"/>
    <s v="M22A10154"/>
    <s v="Sunbelt"/>
    <n v="2000"/>
    <s v="OIL"/>
    <s v="RK"/>
    <m/>
  </r>
  <r>
    <s v="C273"/>
    <s v="Whatsminer M60S"/>
    <s v="Deployed"/>
    <n v="486"/>
    <s v="MicroBT"/>
    <m/>
    <s v="22B"/>
    <s v="N/A"/>
    <s v="13.8KV"/>
    <s v="XF158"/>
    <s v="M21L18181"/>
    <s v="Sunbelt"/>
    <n v="2000"/>
    <s v="OIL"/>
    <s v="RK"/>
    <m/>
  </r>
  <r>
    <s v="C274"/>
    <s v="Whatsminer M60S"/>
    <s v="Deployed"/>
    <n v="486"/>
    <s v="MicroBT"/>
    <m/>
    <s v="22C"/>
    <s v="N/A"/>
    <s v="13.8KV"/>
    <s v="XF159"/>
    <s v="M22A29001"/>
    <s v="Sunbelt"/>
    <n v="2000"/>
    <s v="OIL"/>
    <s v="RK"/>
    <m/>
  </r>
  <r>
    <s v="C275"/>
    <s v="Whatsminer M60S"/>
    <s v="Deployed"/>
    <n v="486"/>
    <s v="MicroBT"/>
    <m/>
    <s v="23A"/>
    <s v="N/A"/>
    <s v="13.8KV"/>
    <s v="XF160"/>
    <s v="M22A10155"/>
    <s v="Sunbelt"/>
    <n v="2000"/>
    <s v="OIL"/>
    <s v="RK"/>
    <m/>
  </r>
  <r>
    <s v="C276"/>
    <s v="Whatsminer M60S"/>
    <s v="Deployed"/>
    <n v="486"/>
    <s v="MicroBT"/>
    <m/>
    <s v="23B"/>
    <s v="N/A"/>
    <s v="13.8KV"/>
    <s v="XF161"/>
    <s v="M22A10156"/>
    <s v="Sunbelt"/>
    <n v="2000"/>
    <s v="OIL"/>
    <s v="RK"/>
    <m/>
  </r>
  <r>
    <s v="C277"/>
    <s v="Whatsminer M60S"/>
    <s v="Deployed"/>
    <n v="486"/>
    <s v="MicroBT"/>
    <m/>
    <s v="23C"/>
    <s v="N/A"/>
    <s v="13.8KV"/>
    <s v="XF162"/>
    <s v="M22A28968"/>
    <s v="Sunbelt"/>
    <n v="2000"/>
    <s v="OIL"/>
    <s v="RK"/>
    <m/>
  </r>
  <r>
    <s v="C278"/>
    <s v="Whatsminer M60S"/>
    <s v="Deployed"/>
    <n v="486"/>
    <s v="MicroBT"/>
    <m/>
    <s v="24A"/>
    <s v="N/A"/>
    <s v="13.8KV"/>
    <s v="XF163"/>
    <s v="M22A10153"/>
    <s v="Sunbelt"/>
    <n v="2000"/>
    <s v="OIL"/>
    <s v="RK"/>
    <m/>
  </r>
  <r>
    <s v="C279"/>
    <s v="Whatsminer M60S"/>
    <s v="Deployed"/>
    <n v="486"/>
    <s v="MicroBT"/>
    <m/>
    <s v="21C"/>
    <s v="N/A"/>
    <s v="13.8KV"/>
    <s v="XF164"/>
    <s v="M21L18175"/>
    <s v="Sunbelt"/>
    <n v="2000"/>
    <s v="OIL"/>
    <s v="RK"/>
    <m/>
  </r>
  <r>
    <s v="C280"/>
    <s v="Whatsminer M60S"/>
    <s v="Deployed"/>
    <n v="486"/>
    <s v="MicroBT"/>
    <m/>
    <s v="22A"/>
    <s v="N/A"/>
    <s v="13.8KV"/>
    <s v="XF165"/>
    <s v="M21L18177"/>
    <s v="Sunbelt"/>
    <n v="2000"/>
    <s v="OIL"/>
    <s v="RK"/>
    <m/>
  </r>
  <r>
    <s v="C281"/>
    <s v="Whatsminer M60S"/>
    <s v="Deployed"/>
    <n v="486"/>
    <s v="MicroBT"/>
    <m/>
    <s v="22B"/>
    <s v="N/A"/>
    <s v="13.8KV"/>
    <s v="XF166"/>
    <s v="M22A10157"/>
    <s v="Sunbelt"/>
    <n v="2000"/>
    <s v="OIL"/>
    <s v="RK"/>
    <m/>
  </r>
  <r>
    <s v="C282"/>
    <s v="Whatsminer M60S"/>
    <s v="Deployed"/>
    <n v="486"/>
    <s v="MicroBT"/>
    <m/>
    <s v="22C"/>
    <s v="N/A"/>
    <s v="13.8KV"/>
    <s v="XF167"/>
    <s v="469446-237245"/>
    <s v="Sunbelt"/>
    <n v="2000"/>
    <s v="OIL"/>
    <s v="RK"/>
    <m/>
  </r>
  <r>
    <s v="C283"/>
    <s v="Whatsminer M60S"/>
    <s v="Deployed"/>
    <n v="486"/>
    <s v="MicroBT"/>
    <m/>
    <s v="23A"/>
    <s v="N/A"/>
    <s v="13.8KV"/>
    <s v="XF168"/>
    <s v="M22A10158"/>
    <s v="Sunbelt"/>
    <n v="2000"/>
    <s v="OIL"/>
    <s v="RK"/>
    <m/>
  </r>
  <r>
    <s v="C284"/>
    <s v="Whatsminer M60 / M60S"/>
    <s v="Deployed"/>
    <n v="486"/>
    <s v="MicroBT"/>
    <m/>
    <s v="23B"/>
    <s v="N/A"/>
    <s v="13.8KV"/>
    <s v="XF169"/>
    <n v="82212836977"/>
    <s v="Maddox"/>
    <n v="2500"/>
    <s v="OIL"/>
    <s v="RK"/>
    <m/>
  </r>
  <r>
    <m/>
    <m/>
    <s v="TOTAL"/>
    <n v="57476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1" cacheId="3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16">
    <pivotField name="Container" dataField="1" compact="0" numFmtId="4" outline="0" multipleItemSelectionAllowed="1" showAll="0"/>
    <pivotField name="Miner Type" compact="0" outline="0" multipleItemSelectionAllowed="1" showAll="0"/>
    <pivotField name="Status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name="XF SN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Items count="1">
    <i/>
  </rowItems>
  <colItems count="1">
    <i/>
  </colItems>
  <dataFields count="1">
    <dataField name="COUNTA of Container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42B22-13C8-4B07-B570-01A4E0947F97}" name="Table1" displayName="Table1" ref="A1:N171" totalsRowShown="0" headerRowDxfId="55">
  <autoFilter ref="A1:N171" xr:uid="{A7242B22-13C8-4B07-B570-01A4E0947F97}"/>
  <tableColumns count="14">
    <tableColumn id="1" xr3:uid="{7EB0D14E-41EC-4F01-BF1E-8766111A61F6}" name="XF #" dataDxfId="54"/>
    <tableColumn id="2" xr3:uid="{C10C4C2D-813F-4F4A-BF74-607BA024E950}" name="Containers" dataDxfId="53"/>
    <tableColumn id="3" xr3:uid="{43B24408-96C7-481B-8BC4-07F0C5BFE536}" name="SN" dataDxfId="52"/>
    <tableColumn id="4" xr3:uid="{C3F62EEB-CA11-4D81-AE5B-5D05DB507D88}" name="Model" dataDxfId="51"/>
    <tableColumn id="5" xr3:uid="{9EA0789E-9573-43FF-89D5-1EB89EBE66FE}" name="IP Address" dataDxfId="50"/>
    <tableColumn id="6" xr3:uid="{6328FA1E-4776-4E57-B5B4-125424F1222D}" name="MAC" dataDxfId="49"/>
    <tableColumn id="7" xr3:uid="{6D1FFB6E-ECC0-481D-B06B-5462A4B2CB0B}" name="eGauge Name" dataDxfId="48"/>
    <tableColumn id="8" xr3:uid="{8157727C-7597-4CDE-8478-8210484A9406}" name="Default Username" dataDxfId="47"/>
    <tableColumn id="9" xr3:uid="{2FCB8412-CA8F-4503-8DD5-02C9F4E79EB5}" name="Default Password" dataDxfId="46"/>
    <tableColumn id="10" xr3:uid="{5E98E060-CFCC-4506-819D-8BD3B165273E}" name="Custom Name" dataDxfId="45"/>
    <tableColumn id="11" xr3:uid="{88C88F2A-BFBC-4D8B-8CF5-EA3CD88C7780}" name="LAN Username" dataDxfId="44"/>
    <tableColumn id="12" xr3:uid="{2676C37D-01A2-4A51-9A1E-5538F15C4E39}" name="LAN Password" dataDxfId="43"/>
    <tableColumn id="13" xr3:uid="{2FCB5ACA-5A73-44F3-BEF5-FFAE5EB442D2}" name="Configured" dataDxfId="42"/>
    <tableColumn id="14" xr3:uid="{B2069F23-83FC-4A7E-B642-BB66FD156F92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4-18T19:03:13.98" personId="{5A57B7FD-09C2-446F-AE64-CC3CAD5B36A7}" id="{4FB6130B-6832-41F6-80CB-1EAC1BD617B9}">
    <text>Please close the sheet if you are not using it so updates get saved properly.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/>
  </sheetViews>
  <sheetFormatPr defaultColWidth="12.54296875" defaultRowHeight="15.75" customHeight="1"/>
  <cols>
    <col min="1" max="1" width="1.54296875" customWidth="1"/>
    <col min="2" max="2" width="23.453125" customWidth="1"/>
    <col min="3" max="3" width="18.54296875" customWidth="1"/>
    <col min="4" max="4" width="13.54296875" customWidth="1"/>
    <col min="5" max="5" width="17.54296875" customWidth="1"/>
    <col min="6" max="7" width="18.453125" customWidth="1"/>
    <col min="8" max="8" width="40.453125" customWidth="1"/>
  </cols>
  <sheetData>
    <row r="1" spans="1:25" ht="11.25" customHeight="1">
      <c r="A1" s="1"/>
      <c r="B1" s="1"/>
      <c r="C1" s="1"/>
      <c r="D1" s="2"/>
      <c r="E1" s="2"/>
      <c r="F1" s="2"/>
      <c r="G1" s="2"/>
      <c r="H1" s="3"/>
    </row>
    <row r="2" spans="1:25" ht="13">
      <c r="A2" s="1"/>
      <c r="B2" s="257" t="s">
        <v>0</v>
      </c>
      <c r="C2" s="258"/>
      <c r="D2" s="258"/>
      <c r="E2" s="258"/>
      <c r="F2" s="258"/>
      <c r="G2" s="258"/>
      <c r="H2" s="258"/>
    </row>
    <row r="3" spans="1:25" ht="26">
      <c r="A3" s="1"/>
      <c r="B3" s="4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</row>
    <row r="4" spans="1:25" ht="13">
      <c r="A4" s="7"/>
      <c r="B4" s="7" t="s">
        <v>8</v>
      </c>
      <c r="C4" s="7"/>
      <c r="D4" s="8"/>
      <c r="E4" s="8"/>
      <c r="F4" s="9" t="str">
        <f t="shared" ref="F4:F15" ca="1" si="0">IF(D4="","",TODAY()+D4*7+30)</f>
        <v/>
      </c>
      <c r="G4" s="8"/>
      <c r="H4" s="10" t="s">
        <v>9</v>
      </c>
    </row>
    <row r="5" spans="1:25" ht="13">
      <c r="A5" s="7"/>
      <c r="B5" s="7" t="s">
        <v>10</v>
      </c>
      <c r="C5" s="7"/>
      <c r="D5" s="8">
        <v>76</v>
      </c>
      <c r="E5" s="8"/>
      <c r="F5" s="9">
        <f t="shared" ca="1" si="0"/>
        <v>46638</v>
      </c>
      <c r="G5" s="8"/>
      <c r="H5" s="10" t="s">
        <v>11</v>
      </c>
    </row>
    <row r="6" spans="1:25" ht="13">
      <c r="A6" s="7"/>
      <c r="B6" s="7" t="s">
        <v>12</v>
      </c>
      <c r="C6" s="7"/>
      <c r="D6" s="8">
        <v>56</v>
      </c>
      <c r="E6" s="8"/>
      <c r="F6" s="9">
        <f t="shared" ca="1" si="0"/>
        <v>46498</v>
      </c>
      <c r="G6" s="8"/>
      <c r="H6" s="10"/>
    </row>
    <row r="7" spans="1:25" ht="13">
      <c r="A7" s="11"/>
      <c r="B7" s="11" t="s">
        <v>13</v>
      </c>
      <c r="C7" s="11"/>
      <c r="D7" s="12"/>
      <c r="E7" s="8"/>
      <c r="F7" s="9" t="str">
        <f t="shared" ca="1" si="0"/>
        <v/>
      </c>
      <c r="G7" s="8"/>
      <c r="H7" s="10" t="s">
        <v>14</v>
      </c>
    </row>
    <row r="8" spans="1:25" ht="13">
      <c r="A8" s="7"/>
      <c r="B8" s="7"/>
      <c r="C8" s="7"/>
      <c r="D8" s="8"/>
      <c r="E8" s="8"/>
      <c r="F8" s="9" t="str">
        <f t="shared" ca="1" si="0"/>
        <v/>
      </c>
      <c r="G8" s="8"/>
      <c r="H8" s="10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3">
      <c r="A9" s="11"/>
      <c r="B9" s="11"/>
      <c r="C9" s="11"/>
      <c r="D9" s="12"/>
      <c r="E9" s="12"/>
      <c r="F9" s="9" t="str">
        <f t="shared" ca="1" si="0"/>
        <v/>
      </c>
      <c r="G9" s="12"/>
      <c r="H9" s="1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3">
      <c r="A10" s="11"/>
      <c r="B10" s="11"/>
      <c r="C10" s="11"/>
      <c r="D10" s="12"/>
      <c r="E10" s="8"/>
      <c r="F10" s="9" t="str">
        <f t="shared" ca="1" si="0"/>
        <v/>
      </c>
      <c r="G10" s="8"/>
      <c r="H10" s="10"/>
    </row>
    <row r="11" spans="1:25" ht="13">
      <c r="A11" s="7"/>
      <c r="B11" s="7"/>
      <c r="C11" s="7"/>
      <c r="D11" s="8"/>
      <c r="E11" s="8"/>
      <c r="F11" s="9" t="str">
        <f t="shared" ca="1" si="0"/>
        <v/>
      </c>
      <c r="G11" s="8"/>
      <c r="H11" s="1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3">
      <c r="A12" s="11"/>
      <c r="B12" s="11"/>
      <c r="C12" s="11"/>
      <c r="D12" s="12"/>
      <c r="E12" s="8"/>
      <c r="F12" s="9" t="str">
        <f t="shared" ca="1" si="0"/>
        <v/>
      </c>
      <c r="G12" s="8"/>
      <c r="H12" s="10"/>
    </row>
    <row r="13" spans="1:25" ht="13">
      <c r="A13" s="7"/>
      <c r="B13" s="7"/>
      <c r="C13" s="7"/>
      <c r="D13" s="8"/>
      <c r="E13" s="8"/>
      <c r="F13" s="9" t="str">
        <f t="shared" ca="1" si="0"/>
        <v/>
      </c>
      <c r="G13" s="8"/>
      <c r="H13" s="1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3">
      <c r="A14" s="11"/>
      <c r="B14" s="11"/>
      <c r="C14" s="11"/>
      <c r="D14" s="12"/>
      <c r="E14" s="8"/>
      <c r="F14" s="9" t="str">
        <f t="shared" ca="1" si="0"/>
        <v/>
      </c>
      <c r="G14" s="8"/>
      <c r="H14" s="10"/>
    </row>
    <row r="15" spans="1:25" ht="13">
      <c r="A15" s="7"/>
      <c r="B15" s="7"/>
      <c r="C15" s="7"/>
      <c r="D15" s="8"/>
      <c r="E15" s="8"/>
      <c r="F15" s="9" t="str">
        <f t="shared" ca="1" si="0"/>
        <v/>
      </c>
      <c r="G15" s="8"/>
      <c r="H15" s="1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6.5" customHeight="1">
      <c r="A16" s="7"/>
      <c r="B16" s="7"/>
      <c r="C16" s="7"/>
      <c r="D16" s="8"/>
      <c r="E16" s="8"/>
      <c r="F16" s="8"/>
      <c r="G16" s="8"/>
      <c r="H16" s="10"/>
    </row>
    <row r="17" spans="1:8" ht="13">
      <c r="A17" s="7"/>
      <c r="B17" s="14" t="s">
        <v>15</v>
      </c>
      <c r="C17" s="7"/>
      <c r="D17" s="8"/>
      <c r="E17" s="8"/>
      <c r="F17" s="8"/>
      <c r="G17" s="8"/>
      <c r="H17" s="10"/>
    </row>
    <row r="18" spans="1:8" ht="14.5">
      <c r="A18" s="7"/>
      <c r="B18" s="15" t="s">
        <v>16</v>
      </c>
      <c r="C18" s="7"/>
      <c r="D18" s="8"/>
      <c r="E18" s="8"/>
      <c r="F18" s="8"/>
      <c r="G18" s="8"/>
      <c r="H18" s="10"/>
    </row>
    <row r="19" spans="1:8" ht="13">
      <c r="A19" s="7"/>
      <c r="B19" s="14" t="s">
        <v>17</v>
      </c>
      <c r="C19" s="7"/>
      <c r="D19" s="8"/>
      <c r="E19" s="8"/>
      <c r="F19" s="8"/>
      <c r="G19" s="8"/>
      <c r="H19" s="10"/>
    </row>
    <row r="20" spans="1:8" ht="14.5">
      <c r="A20" s="7"/>
      <c r="B20" s="15" t="s">
        <v>18</v>
      </c>
      <c r="C20" s="7"/>
      <c r="D20" s="8"/>
      <c r="E20" s="8"/>
      <c r="F20" s="8"/>
      <c r="G20" s="8"/>
      <c r="H20" s="10"/>
    </row>
    <row r="21" spans="1:8" ht="13">
      <c r="A21" s="7"/>
      <c r="B21" s="7"/>
      <c r="C21" s="7"/>
      <c r="D21" s="8"/>
      <c r="E21" s="8"/>
      <c r="F21" s="8"/>
      <c r="G21" s="8"/>
      <c r="H21" s="10"/>
    </row>
    <row r="22" spans="1:8" ht="13">
      <c r="A22" s="7"/>
      <c r="B22" s="7"/>
      <c r="C22" s="7"/>
      <c r="D22" s="8"/>
      <c r="E22" s="8"/>
      <c r="F22" s="8"/>
      <c r="G22" s="8"/>
      <c r="H22" s="10"/>
    </row>
    <row r="23" spans="1:8" ht="13">
      <c r="A23" s="7"/>
      <c r="B23" s="7"/>
      <c r="C23" s="7"/>
      <c r="D23" s="8"/>
      <c r="E23" s="8"/>
      <c r="F23" s="8"/>
      <c r="G23" s="8"/>
      <c r="H23" s="10"/>
    </row>
    <row r="24" spans="1:8" ht="13">
      <c r="A24" s="7"/>
      <c r="B24" s="7"/>
      <c r="C24" s="7"/>
      <c r="D24" s="8"/>
      <c r="E24" s="8"/>
      <c r="F24" s="8"/>
      <c r="G24" s="8"/>
      <c r="H24" s="10"/>
    </row>
    <row r="25" spans="1:8" ht="13">
      <c r="A25" s="7"/>
      <c r="B25" s="7"/>
      <c r="C25" s="7"/>
      <c r="D25" s="8"/>
      <c r="E25" s="8"/>
      <c r="F25" s="8"/>
      <c r="G25" s="8"/>
      <c r="H25" s="10"/>
    </row>
    <row r="26" spans="1:8" ht="13">
      <c r="A26" s="7"/>
      <c r="B26" s="7"/>
      <c r="C26" s="7"/>
      <c r="D26" s="8"/>
      <c r="E26" s="8"/>
      <c r="F26" s="8"/>
      <c r="G26" s="8"/>
      <c r="H26" s="10"/>
    </row>
    <row r="27" spans="1:8" ht="13">
      <c r="A27" s="7"/>
      <c r="B27" s="7"/>
      <c r="C27" s="7"/>
      <c r="D27" s="8"/>
      <c r="E27" s="8"/>
      <c r="F27" s="8"/>
      <c r="G27" s="8"/>
      <c r="H27" s="10"/>
    </row>
    <row r="28" spans="1:8" ht="13">
      <c r="A28" s="7"/>
      <c r="B28" s="7"/>
      <c r="C28" s="7"/>
      <c r="D28" s="8"/>
      <c r="E28" s="8"/>
      <c r="F28" s="8"/>
      <c r="G28" s="8"/>
      <c r="H28" s="10"/>
    </row>
    <row r="29" spans="1:8" ht="13">
      <c r="A29" s="7"/>
      <c r="B29" s="7"/>
      <c r="C29" s="7"/>
      <c r="D29" s="8"/>
      <c r="E29" s="8"/>
      <c r="F29" s="8"/>
      <c r="G29" s="8"/>
      <c r="H29" s="10"/>
    </row>
    <row r="30" spans="1:8" ht="13">
      <c r="A30" s="7"/>
      <c r="B30" s="7"/>
      <c r="C30" s="7"/>
      <c r="D30" s="8"/>
      <c r="E30" s="8"/>
      <c r="F30" s="8"/>
      <c r="G30" s="8"/>
      <c r="H30" s="10"/>
    </row>
    <row r="31" spans="1:8" ht="13">
      <c r="A31" s="7"/>
      <c r="B31" s="7"/>
      <c r="C31" s="7"/>
      <c r="D31" s="8"/>
      <c r="E31" s="8"/>
      <c r="F31" s="8"/>
      <c r="G31" s="8"/>
      <c r="H31" s="10"/>
    </row>
    <row r="32" spans="1:8" ht="13">
      <c r="A32" s="7"/>
      <c r="B32" s="7"/>
      <c r="C32" s="7"/>
      <c r="D32" s="8"/>
      <c r="E32" s="8"/>
      <c r="F32" s="8"/>
      <c r="G32" s="8"/>
      <c r="H32" s="10"/>
    </row>
    <row r="33" spans="1:8" ht="13">
      <c r="A33" s="7"/>
      <c r="B33" s="7"/>
      <c r="C33" s="7"/>
      <c r="D33" s="8"/>
      <c r="E33" s="8"/>
      <c r="F33" s="8"/>
      <c r="G33" s="8"/>
      <c r="H33" s="10"/>
    </row>
    <row r="34" spans="1:8" ht="13">
      <c r="A34" s="7"/>
      <c r="B34" s="7"/>
      <c r="C34" s="7"/>
      <c r="D34" s="8"/>
      <c r="E34" s="8"/>
      <c r="F34" s="8"/>
      <c r="G34" s="8"/>
      <c r="H34" s="10"/>
    </row>
    <row r="35" spans="1:8" ht="13">
      <c r="A35" s="7"/>
      <c r="B35" s="7"/>
      <c r="C35" s="7"/>
      <c r="D35" s="8"/>
      <c r="E35" s="8"/>
      <c r="F35" s="8"/>
      <c r="G35" s="8"/>
      <c r="H35" s="10"/>
    </row>
    <row r="36" spans="1:8" ht="13">
      <c r="A36" s="7"/>
      <c r="B36" s="7"/>
      <c r="C36" s="7"/>
      <c r="D36" s="8"/>
      <c r="E36" s="8"/>
      <c r="F36" s="8"/>
      <c r="G36" s="8"/>
      <c r="H36" s="10"/>
    </row>
    <row r="37" spans="1:8" ht="13">
      <c r="A37" s="7"/>
      <c r="B37" s="7"/>
      <c r="C37" s="7"/>
      <c r="D37" s="8"/>
      <c r="E37" s="8"/>
      <c r="F37" s="8"/>
      <c r="G37" s="8"/>
      <c r="H37" s="10"/>
    </row>
    <row r="38" spans="1:8" ht="13">
      <c r="A38" s="7"/>
      <c r="B38" s="7"/>
      <c r="C38" s="7"/>
      <c r="D38" s="8"/>
      <c r="E38" s="8"/>
      <c r="F38" s="8"/>
      <c r="G38" s="8"/>
      <c r="H38" s="10"/>
    </row>
    <row r="39" spans="1:8" ht="13">
      <c r="A39" s="7"/>
      <c r="B39" s="7"/>
      <c r="C39" s="7"/>
      <c r="D39" s="8"/>
      <c r="E39" s="8"/>
      <c r="F39" s="8"/>
      <c r="G39" s="8"/>
      <c r="H39" s="10"/>
    </row>
    <row r="40" spans="1:8" ht="13">
      <c r="A40" s="7"/>
      <c r="B40" s="7"/>
      <c r="C40" s="7"/>
      <c r="D40" s="8"/>
      <c r="E40" s="8"/>
      <c r="F40" s="8"/>
      <c r="G40" s="8"/>
      <c r="H40" s="10"/>
    </row>
    <row r="41" spans="1:8" ht="13">
      <c r="A41" s="7"/>
      <c r="B41" s="7"/>
      <c r="C41" s="7"/>
      <c r="D41" s="8"/>
      <c r="E41" s="8"/>
      <c r="F41" s="8"/>
      <c r="G41" s="8"/>
      <c r="H41" s="10"/>
    </row>
    <row r="42" spans="1:8" ht="13">
      <c r="A42" s="7"/>
      <c r="B42" s="7"/>
      <c r="C42" s="7"/>
      <c r="D42" s="8"/>
      <c r="E42" s="8"/>
      <c r="F42" s="8"/>
      <c r="G42" s="8"/>
      <c r="H42" s="10"/>
    </row>
    <row r="43" spans="1:8" ht="13">
      <c r="A43" s="7"/>
      <c r="B43" s="7"/>
      <c r="C43" s="7"/>
      <c r="D43" s="8"/>
      <c r="E43" s="8"/>
      <c r="F43" s="8"/>
      <c r="G43" s="8"/>
      <c r="H43" s="10"/>
    </row>
    <row r="44" spans="1:8" ht="13">
      <c r="A44" s="7"/>
      <c r="B44" s="7"/>
      <c r="C44" s="7"/>
      <c r="D44" s="8"/>
      <c r="E44" s="8"/>
      <c r="F44" s="8"/>
      <c r="G44" s="8"/>
      <c r="H44" s="10"/>
    </row>
    <row r="45" spans="1:8" ht="13">
      <c r="A45" s="7"/>
      <c r="B45" s="7"/>
      <c r="C45" s="7"/>
      <c r="D45" s="8"/>
      <c r="E45" s="8"/>
      <c r="F45" s="8"/>
      <c r="G45" s="8"/>
      <c r="H45" s="10"/>
    </row>
    <row r="46" spans="1:8" ht="13">
      <c r="A46" s="7"/>
      <c r="B46" s="7"/>
      <c r="C46" s="7"/>
      <c r="D46" s="8"/>
      <c r="E46" s="8"/>
      <c r="F46" s="8"/>
      <c r="G46" s="8"/>
      <c r="H46" s="10"/>
    </row>
    <row r="47" spans="1:8" ht="13">
      <c r="A47" s="7"/>
      <c r="B47" s="7"/>
      <c r="C47" s="7"/>
      <c r="D47" s="8"/>
      <c r="E47" s="8"/>
      <c r="F47" s="8"/>
      <c r="G47" s="8"/>
      <c r="H47" s="10"/>
    </row>
    <row r="48" spans="1:8" ht="13">
      <c r="A48" s="7"/>
      <c r="B48" s="7"/>
      <c r="C48" s="7"/>
      <c r="D48" s="8"/>
      <c r="E48" s="8"/>
      <c r="F48" s="8"/>
      <c r="G48" s="8"/>
      <c r="H48" s="10"/>
    </row>
    <row r="49" spans="1:8" ht="13">
      <c r="A49" s="7"/>
      <c r="B49" s="7"/>
      <c r="C49" s="7"/>
      <c r="D49" s="8"/>
      <c r="E49" s="8"/>
      <c r="F49" s="8"/>
      <c r="G49" s="8"/>
      <c r="H49" s="10"/>
    </row>
    <row r="50" spans="1:8" ht="13">
      <c r="A50" s="7"/>
      <c r="B50" s="7"/>
      <c r="C50" s="7"/>
      <c r="D50" s="8"/>
      <c r="E50" s="8"/>
      <c r="F50" s="8"/>
      <c r="G50" s="8"/>
      <c r="H50" s="10"/>
    </row>
    <row r="51" spans="1:8" ht="13">
      <c r="A51" s="7"/>
      <c r="B51" s="7"/>
      <c r="C51" s="7"/>
      <c r="D51" s="8"/>
      <c r="E51" s="8"/>
      <c r="F51" s="8"/>
      <c r="G51" s="8"/>
      <c r="H51" s="10"/>
    </row>
    <row r="52" spans="1:8" ht="13">
      <c r="A52" s="7"/>
      <c r="B52" s="7"/>
      <c r="C52" s="7"/>
      <c r="D52" s="8"/>
      <c r="E52" s="8"/>
      <c r="F52" s="8"/>
      <c r="G52" s="8"/>
      <c r="H52" s="10"/>
    </row>
    <row r="53" spans="1:8" ht="13">
      <c r="A53" s="7"/>
      <c r="B53" s="7"/>
      <c r="C53" s="7"/>
      <c r="D53" s="8"/>
      <c r="E53" s="8"/>
      <c r="F53" s="8"/>
      <c r="G53" s="8"/>
      <c r="H53" s="10"/>
    </row>
    <row r="54" spans="1:8" ht="13">
      <c r="A54" s="7"/>
      <c r="B54" s="7"/>
      <c r="C54" s="7"/>
      <c r="D54" s="8"/>
      <c r="E54" s="8"/>
      <c r="F54" s="8"/>
      <c r="G54" s="8"/>
      <c r="H54" s="10"/>
    </row>
    <row r="55" spans="1:8" ht="13">
      <c r="A55" s="7"/>
      <c r="B55" s="7"/>
      <c r="C55" s="7"/>
      <c r="D55" s="8"/>
      <c r="E55" s="8"/>
      <c r="F55" s="8"/>
      <c r="G55" s="8"/>
      <c r="H55" s="10"/>
    </row>
    <row r="56" spans="1:8" ht="13">
      <c r="A56" s="7"/>
      <c r="B56" s="7"/>
      <c r="C56" s="7"/>
      <c r="D56" s="8"/>
      <c r="E56" s="8"/>
      <c r="F56" s="8"/>
      <c r="G56" s="8"/>
      <c r="H56" s="10"/>
    </row>
    <row r="57" spans="1:8" ht="13">
      <c r="A57" s="7"/>
      <c r="B57" s="7"/>
      <c r="C57" s="7"/>
      <c r="D57" s="8"/>
      <c r="E57" s="8"/>
      <c r="F57" s="8"/>
      <c r="G57" s="8"/>
      <c r="H57" s="10"/>
    </row>
    <row r="58" spans="1:8" ht="13">
      <c r="A58" s="7"/>
      <c r="B58" s="7"/>
      <c r="C58" s="7"/>
      <c r="D58" s="8"/>
      <c r="E58" s="8"/>
      <c r="F58" s="8"/>
      <c r="G58" s="8"/>
      <c r="H58" s="10"/>
    </row>
    <row r="59" spans="1:8" ht="13">
      <c r="A59" s="7"/>
      <c r="B59" s="7"/>
      <c r="C59" s="7"/>
      <c r="D59" s="8"/>
      <c r="E59" s="8"/>
      <c r="F59" s="8"/>
      <c r="G59" s="8"/>
      <c r="H59" s="10"/>
    </row>
    <row r="60" spans="1:8" ht="13">
      <c r="A60" s="7"/>
      <c r="B60" s="7"/>
      <c r="C60" s="7"/>
      <c r="D60" s="8"/>
      <c r="E60" s="8"/>
      <c r="F60" s="8"/>
      <c r="G60" s="8"/>
      <c r="H60" s="10"/>
    </row>
    <row r="61" spans="1:8" ht="13">
      <c r="A61" s="7"/>
      <c r="B61" s="7"/>
      <c r="C61" s="7"/>
      <c r="D61" s="8"/>
      <c r="E61" s="8"/>
      <c r="F61" s="8"/>
      <c r="G61" s="8"/>
      <c r="H61" s="10"/>
    </row>
    <row r="62" spans="1:8" ht="13">
      <c r="A62" s="7"/>
      <c r="B62" s="7"/>
      <c r="C62" s="7"/>
      <c r="D62" s="8"/>
      <c r="E62" s="8"/>
      <c r="F62" s="8"/>
      <c r="G62" s="8"/>
      <c r="H62" s="10"/>
    </row>
    <row r="63" spans="1:8" ht="13">
      <c r="A63" s="7"/>
      <c r="B63" s="7"/>
      <c r="C63" s="7"/>
      <c r="D63" s="8"/>
      <c r="E63" s="8"/>
      <c r="F63" s="8"/>
      <c r="G63" s="8"/>
      <c r="H63" s="10"/>
    </row>
    <row r="64" spans="1:8" ht="13">
      <c r="A64" s="7"/>
      <c r="B64" s="7"/>
      <c r="C64" s="7"/>
      <c r="D64" s="8"/>
      <c r="E64" s="8"/>
      <c r="F64" s="8"/>
      <c r="G64" s="8"/>
      <c r="H64" s="10"/>
    </row>
    <row r="65" spans="1:8" ht="13">
      <c r="A65" s="7"/>
      <c r="B65" s="7"/>
      <c r="C65" s="7"/>
      <c r="D65" s="8"/>
      <c r="E65" s="8"/>
      <c r="F65" s="8"/>
      <c r="G65" s="8"/>
      <c r="H65" s="10"/>
    </row>
    <row r="66" spans="1:8" ht="13">
      <c r="A66" s="7"/>
      <c r="B66" s="7"/>
      <c r="C66" s="7"/>
      <c r="D66" s="8"/>
      <c r="E66" s="8"/>
      <c r="F66" s="8"/>
      <c r="G66" s="8"/>
      <c r="H66" s="10"/>
    </row>
    <row r="67" spans="1:8" ht="13">
      <c r="A67" s="7"/>
      <c r="B67" s="7"/>
      <c r="C67" s="7"/>
      <c r="D67" s="8"/>
      <c r="E67" s="8"/>
      <c r="F67" s="8"/>
      <c r="G67" s="8"/>
      <c r="H67" s="10"/>
    </row>
    <row r="68" spans="1:8" ht="13">
      <c r="A68" s="7"/>
      <c r="B68" s="7"/>
      <c r="C68" s="7"/>
      <c r="D68" s="8"/>
      <c r="E68" s="8"/>
      <c r="F68" s="8"/>
      <c r="G68" s="8"/>
      <c r="H68" s="10"/>
    </row>
    <row r="69" spans="1:8" ht="13">
      <c r="A69" s="7"/>
      <c r="B69" s="7"/>
      <c r="C69" s="7"/>
      <c r="D69" s="8"/>
      <c r="E69" s="8"/>
      <c r="F69" s="8"/>
      <c r="G69" s="8"/>
      <c r="H69" s="10"/>
    </row>
    <row r="70" spans="1:8" ht="13">
      <c r="A70" s="7"/>
      <c r="B70" s="7"/>
      <c r="C70" s="7"/>
      <c r="D70" s="8"/>
      <c r="E70" s="8"/>
      <c r="F70" s="8"/>
      <c r="G70" s="8"/>
      <c r="H70" s="10"/>
    </row>
    <row r="71" spans="1:8" ht="13">
      <c r="A71" s="7"/>
      <c r="B71" s="7"/>
      <c r="C71" s="7"/>
      <c r="D71" s="8"/>
      <c r="E71" s="8"/>
      <c r="F71" s="8"/>
      <c r="G71" s="8"/>
      <c r="H71" s="10"/>
    </row>
    <row r="72" spans="1:8" ht="13">
      <c r="A72" s="7"/>
      <c r="B72" s="7"/>
      <c r="C72" s="7"/>
      <c r="D72" s="8"/>
      <c r="E72" s="8"/>
      <c r="F72" s="8"/>
      <c r="G72" s="8"/>
      <c r="H72" s="10"/>
    </row>
    <row r="73" spans="1:8" ht="13">
      <c r="A73" s="7"/>
      <c r="B73" s="7"/>
      <c r="C73" s="7"/>
      <c r="D73" s="8"/>
      <c r="E73" s="8"/>
      <c r="F73" s="8"/>
      <c r="G73" s="8"/>
      <c r="H73" s="10"/>
    </row>
    <row r="74" spans="1:8" ht="13">
      <c r="A74" s="7"/>
      <c r="B74" s="7"/>
      <c r="C74" s="7"/>
      <c r="D74" s="8"/>
      <c r="E74" s="8"/>
      <c r="F74" s="8"/>
      <c r="G74" s="8"/>
      <c r="H74" s="10"/>
    </row>
    <row r="75" spans="1:8" ht="13">
      <c r="A75" s="7"/>
      <c r="B75" s="7"/>
      <c r="C75" s="7"/>
      <c r="D75" s="8"/>
      <c r="E75" s="8"/>
      <c r="F75" s="8"/>
      <c r="G75" s="8"/>
      <c r="H75" s="10"/>
    </row>
    <row r="76" spans="1:8" ht="13">
      <c r="A76" s="7"/>
      <c r="B76" s="7"/>
      <c r="C76" s="7"/>
      <c r="D76" s="8"/>
      <c r="E76" s="8"/>
      <c r="F76" s="8"/>
      <c r="G76" s="8"/>
      <c r="H76" s="10"/>
    </row>
    <row r="77" spans="1:8" ht="13">
      <c r="A77" s="7"/>
      <c r="B77" s="7"/>
      <c r="C77" s="7"/>
      <c r="D77" s="8"/>
      <c r="E77" s="8"/>
      <c r="F77" s="8"/>
      <c r="G77" s="8"/>
      <c r="H77" s="10"/>
    </row>
    <row r="78" spans="1:8" ht="13">
      <c r="A78" s="7"/>
      <c r="B78" s="7"/>
      <c r="C78" s="7"/>
      <c r="D78" s="8"/>
      <c r="E78" s="8"/>
      <c r="F78" s="8"/>
      <c r="G78" s="8"/>
      <c r="H78" s="10"/>
    </row>
    <row r="79" spans="1:8" ht="13">
      <c r="A79" s="7"/>
      <c r="B79" s="7"/>
      <c r="C79" s="7"/>
      <c r="D79" s="8"/>
      <c r="E79" s="8"/>
      <c r="F79" s="8"/>
      <c r="G79" s="8"/>
      <c r="H79" s="10"/>
    </row>
    <row r="80" spans="1:8" ht="13">
      <c r="A80" s="7"/>
      <c r="B80" s="7"/>
      <c r="C80" s="7"/>
      <c r="D80" s="8"/>
      <c r="E80" s="8"/>
      <c r="F80" s="8"/>
      <c r="G80" s="8"/>
      <c r="H80" s="10"/>
    </row>
    <row r="81" spans="1:8" ht="13">
      <c r="A81" s="7"/>
      <c r="B81" s="7"/>
      <c r="C81" s="7"/>
      <c r="D81" s="8"/>
      <c r="E81" s="8"/>
      <c r="F81" s="8"/>
      <c r="G81" s="8"/>
      <c r="H81" s="10"/>
    </row>
    <row r="82" spans="1:8" ht="13">
      <c r="A82" s="7"/>
      <c r="B82" s="7"/>
      <c r="C82" s="7"/>
      <c r="D82" s="8"/>
      <c r="E82" s="8"/>
      <c r="F82" s="8"/>
      <c r="G82" s="8"/>
      <c r="H82" s="10"/>
    </row>
    <row r="83" spans="1:8" ht="13">
      <c r="A83" s="7"/>
      <c r="B83" s="7"/>
      <c r="C83" s="7"/>
      <c r="D83" s="8"/>
      <c r="E83" s="8"/>
      <c r="F83" s="8"/>
      <c r="G83" s="8"/>
      <c r="H83" s="10"/>
    </row>
    <row r="84" spans="1:8" ht="13">
      <c r="A84" s="7"/>
      <c r="B84" s="7"/>
      <c r="C84" s="7"/>
      <c r="D84" s="8"/>
      <c r="E84" s="8"/>
      <c r="F84" s="8"/>
      <c r="G84" s="8"/>
      <c r="H84" s="10"/>
    </row>
    <row r="85" spans="1:8" ht="13">
      <c r="A85" s="7"/>
      <c r="B85" s="7"/>
      <c r="C85" s="7"/>
      <c r="D85" s="8"/>
      <c r="E85" s="8"/>
      <c r="F85" s="8"/>
      <c r="G85" s="8"/>
      <c r="H85" s="10"/>
    </row>
    <row r="86" spans="1:8" ht="13">
      <c r="A86" s="7"/>
      <c r="B86" s="7"/>
      <c r="C86" s="7"/>
      <c r="D86" s="8"/>
      <c r="E86" s="8"/>
      <c r="F86" s="8"/>
      <c r="G86" s="8"/>
      <c r="H86" s="10"/>
    </row>
    <row r="87" spans="1:8" ht="13">
      <c r="A87" s="7"/>
      <c r="B87" s="7"/>
      <c r="C87" s="7"/>
      <c r="D87" s="8"/>
      <c r="E87" s="8"/>
      <c r="F87" s="8"/>
      <c r="G87" s="8"/>
      <c r="H87" s="10"/>
    </row>
    <row r="88" spans="1:8" ht="13">
      <c r="A88" s="7"/>
      <c r="B88" s="7"/>
      <c r="C88" s="7"/>
      <c r="D88" s="8"/>
      <c r="E88" s="8"/>
      <c r="F88" s="8"/>
      <c r="G88" s="8"/>
      <c r="H88" s="10"/>
    </row>
    <row r="89" spans="1:8" ht="13">
      <c r="A89" s="7"/>
      <c r="B89" s="7"/>
      <c r="C89" s="7"/>
      <c r="D89" s="8"/>
      <c r="E89" s="8"/>
      <c r="F89" s="8"/>
      <c r="G89" s="8"/>
      <c r="H89" s="10"/>
    </row>
    <row r="90" spans="1:8" ht="13">
      <c r="A90" s="7"/>
      <c r="B90" s="7"/>
      <c r="C90" s="7"/>
      <c r="D90" s="8"/>
      <c r="E90" s="8"/>
      <c r="F90" s="8"/>
      <c r="G90" s="8"/>
      <c r="H90" s="10"/>
    </row>
    <row r="91" spans="1:8" ht="13">
      <c r="A91" s="7"/>
      <c r="B91" s="7"/>
      <c r="C91" s="7"/>
      <c r="D91" s="8"/>
      <c r="E91" s="8"/>
      <c r="F91" s="8"/>
      <c r="G91" s="8"/>
      <c r="H91" s="10"/>
    </row>
    <row r="92" spans="1:8" ht="13">
      <c r="A92" s="7"/>
      <c r="B92" s="7"/>
      <c r="C92" s="7"/>
      <c r="D92" s="8"/>
      <c r="E92" s="8"/>
      <c r="F92" s="8"/>
      <c r="G92" s="8"/>
      <c r="H92" s="10"/>
    </row>
    <row r="93" spans="1:8" ht="13">
      <c r="A93" s="7"/>
      <c r="B93" s="7"/>
      <c r="C93" s="7"/>
      <c r="D93" s="8"/>
      <c r="E93" s="8"/>
      <c r="F93" s="8"/>
      <c r="G93" s="8"/>
      <c r="H93" s="10"/>
    </row>
    <row r="94" spans="1:8" ht="13">
      <c r="A94" s="7"/>
      <c r="B94" s="7"/>
      <c r="C94" s="7"/>
      <c r="D94" s="8"/>
      <c r="E94" s="8"/>
      <c r="F94" s="8"/>
      <c r="G94" s="8"/>
      <c r="H94" s="10"/>
    </row>
    <row r="95" spans="1:8" ht="13">
      <c r="A95" s="7"/>
      <c r="B95" s="7"/>
      <c r="C95" s="7"/>
      <c r="D95" s="8"/>
      <c r="E95" s="8"/>
      <c r="F95" s="8"/>
      <c r="G95" s="8"/>
      <c r="H95" s="10"/>
    </row>
    <row r="96" spans="1:8" ht="13">
      <c r="A96" s="7"/>
      <c r="B96" s="7"/>
      <c r="C96" s="7"/>
      <c r="D96" s="8"/>
      <c r="E96" s="8"/>
      <c r="F96" s="8"/>
      <c r="G96" s="8"/>
      <c r="H96" s="10"/>
    </row>
    <row r="97" spans="1:8" ht="13">
      <c r="A97" s="7"/>
      <c r="B97" s="7"/>
      <c r="C97" s="7"/>
      <c r="D97" s="8"/>
      <c r="E97" s="8"/>
      <c r="F97" s="8"/>
      <c r="G97" s="8"/>
      <c r="H97" s="10"/>
    </row>
    <row r="98" spans="1:8" ht="13">
      <c r="A98" s="7"/>
      <c r="B98" s="7"/>
      <c r="C98" s="7"/>
      <c r="D98" s="8"/>
      <c r="E98" s="8"/>
      <c r="F98" s="8"/>
      <c r="G98" s="8"/>
      <c r="H98" s="10"/>
    </row>
    <row r="99" spans="1:8" ht="13">
      <c r="A99" s="7"/>
      <c r="B99" s="7"/>
      <c r="C99" s="7"/>
      <c r="D99" s="8"/>
      <c r="E99" s="8"/>
      <c r="F99" s="8"/>
      <c r="G99" s="8"/>
      <c r="H99" s="10"/>
    </row>
    <row r="100" spans="1:8" ht="13">
      <c r="A100" s="7"/>
      <c r="B100" s="7"/>
      <c r="C100" s="7"/>
      <c r="D100" s="8"/>
      <c r="E100" s="8"/>
      <c r="F100" s="8"/>
      <c r="G100" s="8"/>
      <c r="H100" s="10"/>
    </row>
    <row r="101" spans="1:8" ht="13">
      <c r="A101" s="7"/>
      <c r="B101" s="7"/>
      <c r="C101" s="7"/>
      <c r="D101" s="8"/>
      <c r="E101" s="8"/>
      <c r="F101" s="8"/>
      <c r="G101" s="8"/>
      <c r="H101" s="10"/>
    </row>
    <row r="102" spans="1:8" ht="13">
      <c r="A102" s="7"/>
      <c r="B102" s="7"/>
      <c r="C102" s="7"/>
      <c r="D102" s="8"/>
      <c r="E102" s="8"/>
      <c r="F102" s="8"/>
      <c r="G102" s="8"/>
      <c r="H102" s="10"/>
    </row>
    <row r="103" spans="1:8" ht="13">
      <c r="A103" s="7"/>
      <c r="B103" s="7"/>
      <c r="C103" s="7"/>
      <c r="D103" s="8"/>
      <c r="E103" s="8"/>
      <c r="F103" s="8"/>
      <c r="G103" s="8"/>
      <c r="H103" s="10"/>
    </row>
    <row r="104" spans="1:8" ht="13">
      <c r="A104" s="7"/>
      <c r="B104" s="7"/>
      <c r="C104" s="7"/>
      <c r="D104" s="8"/>
      <c r="E104" s="8"/>
      <c r="F104" s="8"/>
      <c r="G104" s="8"/>
      <c r="H104" s="10"/>
    </row>
    <row r="105" spans="1:8" ht="13">
      <c r="A105" s="7"/>
      <c r="B105" s="7"/>
      <c r="C105" s="7"/>
      <c r="D105" s="8"/>
      <c r="E105" s="8"/>
      <c r="F105" s="8"/>
      <c r="G105" s="8"/>
      <c r="H105" s="10"/>
    </row>
    <row r="106" spans="1:8" ht="13">
      <c r="A106" s="7"/>
      <c r="B106" s="7"/>
      <c r="C106" s="7"/>
      <c r="D106" s="8"/>
      <c r="E106" s="8"/>
      <c r="F106" s="8"/>
      <c r="G106" s="8"/>
      <c r="H106" s="10"/>
    </row>
    <row r="107" spans="1:8" ht="13">
      <c r="A107" s="7"/>
      <c r="B107" s="7"/>
      <c r="C107" s="7"/>
      <c r="D107" s="8"/>
      <c r="E107" s="8"/>
      <c r="F107" s="8"/>
      <c r="G107" s="8"/>
      <c r="H107" s="10"/>
    </row>
    <row r="108" spans="1:8" ht="13">
      <c r="A108" s="7"/>
      <c r="B108" s="7"/>
      <c r="C108" s="7"/>
      <c r="D108" s="8"/>
      <c r="E108" s="8"/>
      <c r="F108" s="8"/>
      <c r="G108" s="8"/>
      <c r="H108" s="10"/>
    </row>
    <row r="109" spans="1:8" ht="13">
      <c r="A109" s="7"/>
      <c r="B109" s="7"/>
      <c r="C109" s="7"/>
      <c r="D109" s="8"/>
      <c r="E109" s="8"/>
      <c r="F109" s="8"/>
      <c r="G109" s="8"/>
      <c r="H109" s="10"/>
    </row>
    <row r="110" spans="1:8" ht="13">
      <c r="A110" s="7"/>
      <c r="B110" s="7"/>
      <c r="C110" s="7"/>
      <c r="D110" s="8"/>
      <c r="E110" s="8"/>
      <c r="F110" s="8"/>
      <c r="G110" s="8"/>
      <c r="H110" s="10"/>
    </row>
    <row r="111" spans="1:8" ht="13">
      <c r="A111" s="7"/>
      <c r="B111" s="7"/>
      <c r="C111" s="7"/>
      <c r="D111" s="8"/>
      <c r="E111" s="8"/>
      <c r="F111" s="8"/>
      <c r="G111" s="8"/>
      <c r="H111" s="10"/>
    </row>
    <row r="112" spans="1:8" ht="13">
      <c r="A112" s="7"/>
      <c r="B112" s="7"/>
      <c r="C112" s="7"/>
      <c r="D112" s="8"/>
      <c r="E112" s="8"/>
      <c r="F112" s="8"/>
      <c r="G112" s="8"/>
      <c r="H112" s="10"/>
    </row>
    <row r="113" spans="1:8" ht="13">
      <c r="A113" s="7"/>
      <c r="B113" s="7"/>
      <c r="C113" s="7"/>
      <c r="D113" s="8"/>
      <c r="E113" s="8"/>
      <c r="F113" s="8"/>
      <c r="G113" s="8"/>
      <c r="H113" s="10"/>
    </row>
    <row r="114" spans="1:8" ht="13">
      <c r="A114" s="7"/>
      <c r="B114" s="7"/>
      <c r="C114" s="7"/>
      <c r="D114" s="8"/>
      <c r="E114" s="8"/>
      <c r="F114" s="8"/>
      <c r="G114" s="8"/>
      <c r="H114" s="10"/>
    </row>
    <row r="115" spans="1:8" ht="13">
      <c r="A115" s="7"/>
      <c r="B115" s="7"/>
      <c r="C115" s="7"/>
      <c r="D115" s="8"/>
      <c r="E115" s="8"/>
      <c r="F115" s="8"/>
      <c r="G115" s="8"/>
      <c r="H115" s="10"/>
    </row>
    <row r="116" spans="1:8" ht="13">
      <c r="A116" s="7"/>
      <c r="B116" s="7"/>
      <c r="C116" s="7"/>
      <c r="D116" s="8"/>
      <c r="E116" s="8"/>
      <c r="F116" s="8"/>
      <c r="G116" s="8"/>
      <c r="H116" s="10"/>
    </row>
    <row r="117" spans="1:8" ht="13">
      <c r="A117" s="7"/>
      <c r="B117" s="7"/>
      <c r="C117" s="7"/>
      <c r="D117" s="8"/>
      <c r="E117" s="8"/>
      <c r="F117" s="8"/>
      <c r="G117" s="8"/>
      <c r="H117" s="10"/>
    </row>
    <row r="118" spans="1:8" ht="13">
      <c r="A118" s="7"/>
      <c r="B118" s="7"/>
      <c r="C118" s="7"/>
      <c r="D118" s="8"/>
      <c r="E118" s="8"/>
      <c r="F118" s="8"/>
      <c r="G118" s="8"/>
      <c r="H118" s="10"/>
    </row>
    <row r="119" spans="1:8" ht="13">
      <c r="A119" s="7"/>
      <c r="B119" s="7"/>
      <c r="C119" s="7"/>
      <c r="D119" s="8"/>
      <c r="E119" s="8"/>
      <c r="F119" s="8"/>
      <c r="G119" s="8"/>
      <c r="H119" s="10"/>
    </row>
    <row r="120" spans="1:8" ht="13">
      <c r="A120" s="7"/>
      <c r="B120" s="7"/>
      <c r="C120" s="7"/>
      <c r="D120" s="8"/>
      <c r="E120" s="8"/>
      <c r="F120" s="8"/>
      <c r="G120" s="8"/>
      <c r="H120" s="10"/>
    </row>
    <row r="121" spans="1:8" ht="13">
      <c r="A121" s="7"/>
      <c r="B121" s="7"/>
      <c r="C121" s="7"/>
      <c r="D121" s="8"/>
      <c r="E121" s="8"/>
      <c r="F121" s="8"/>
      <c r="G121" s="8"/>
      <c r="H121" s="10"/>
    </row>
    <row r="122" spans="1:8" ht="13">
      <c r="A122" s="7"/>
      <c r="B122" s="7"/>
      <c r="C122" s="7"/>
      <c r="D122" s="8"/>
      <c r="E122" s="8"/>
      <c r="F122" s="8"/>
      <c r="G122" s="8"/>
      <c r="H122" s="10"/>
    </row>
    <row r="123" spans="1:8" ht="13">
      <c r="A123" s="7"/>
      <c r="B123" s="7"/>
      <c r="C123" s="7"/>
      <c r="D123" s="8"/>
      <c r="E123" s="8"/>
      <c r="F123" s="8"/>
      <c r="G123" s="8"/>
      <c r="H123" s="10"/>
    </row>
    <row r="124" spans="1:8" ht="13">
      <c r="A124" s="7"/>
      <c r="B124" s="7"/>
      <c r="C124" s="7"/>
      <c r="D124" s="8"/>
      <c r="E124" s="8"/>
      <c r="F124" s="8"/>
      <c r="G124" s="8"/>
      <c r="H124" s="10"/>
    </row>
    <row r="125" spans="1:8" ht="13">
      <c r="A125" s="7"/>
      <c r="B125" s="7"/>
      <c r="C125" s="7"/>
      <c r="D125" s="8"/>
      <c r="E125" s="8"/>
      <c r="F125" s="8"/>
      <c r="G125" s="8"/>
      <c r="H125" s="10"/>
    </row>
    <row r="126" spans="1:8" ht="13">
      <c r="A126" s="7"/>
      <c r="B126" s="7"/>
      <c r="C126" s="7"/>
      <c r="D126" s="8"/>
      <c r="E126" s="8"/>
      <c r="F126" s="8"/>
      <c r="G126" s="8"/>
      <c r="H126" s="10"/>
    </row>
    <row r="127" spans="1:8" ht="13">
      <c r="A127" s="7"/>
      <c r="B127" s="7"/>
      <c r="C127" s="7"/>
      <c r="D127" s="8"/>
      <c r="E127" s="8"/>
      <c r="F127" s="8"/>
      <c r="G127" s="8"/>
      <c r="H127" s="10"/>
    </row>
    <row r="128" spans="1:8" ht="13">
      <c r="A128" s="7"/>
      <c r="B128" s="7"/>
      <c r="C128" s="7"/>
      <c r="D128" s="8"/>
      <c r="E128" s="8"/>
      <c r="F128" s="8"/>
      <c r="G128" s="8"/>
      <c r="H128" s="10"/>
    </row>
    <row r="129" spans="1:8" ht="13">
      <c r="A129" s="7"/>
      <c r="B129" s="7"/>
      <c r="C129" s="7"/>
      <c r="D129" s="8"/>
      <c r="E129" s="8"/>
      <c r="F129" s="8"/>
      <c r="G129" s="8"/>
      <c r="H129" s="10"/>
    </row>
    <row r="130" spans="1:8" ht="13">
      <c r="A130" s="7"/>
      <c r="B130" s="7"/>
      <c r="C130" s="7"/>
      <c r="D130" s="8"/>
      <c r="E130" s="8"/>
      <c r="F130" s="8"/>
      <c r="G130" s="8"/>
      <c r="H130" s="10"/>
    </row>
    <row r="131" spans="1:8" ht="13">
      <c r="A131" s="7"/>
      <c r="B131" s="7"/>
      <c r="C131" s="7"/>
      <c r="D131" s="8"/>
      <c r="E131" s="8"/>
      <c r="F131" s="8"/>
      <c r="G131" s="8"/>
      <c r="H131" s="10"/>
    </row>
    <row r="132" spans="1:8" ht="13">
      <c r="A132" s="7"/>
      <c r="B132" s="7"/>
      <c r="C132" s="7"/>
      <c r="D132" s="8"/>
      <c r="E132" s="8"/>
      <c r="F132" s="8"/>
      <c r="G132" s="8"/>
      <c r="H132" s="10"/>
    </row>
    <row r="133" spans="1:8" ht="13">
      <c r="A133" s="7"/>
      <c r="B133" s="7"/>
      <c r="C133" s="7"/>
      <c r="D133" s="8"/>
      <c r="E133" s="8"/>
      <c r="F133" s="8"/>
      <c r="G133" s="8"/>
      <c r="H133" s="10"/>
    </row>
    <row r="134" spans="1:8" ht="13">
      <c r="A134" s="7"/>
      <c r="B134" s="7"/>
      <c r="C134" s="7"/>
      <c r="D134" s="8"/>
      <c r="E134" s="8"/>
      <c r="F134" s="8"/>
      <c r="G134" s="8"/>
      <c r="H134" s="10"/>
    </row>
    <row r="135" spans="1:8" ht="13">
      <c r="A135" s="7"/>
      <c r="B135" s="7"/>
      <c r="C135" s="7"/>
      <c r="D135" s="8"/>
      <c r="E135" s="8"/>
      <c r="F135" s="8"/>
      <c r="G135" s="8"/>
      <c r="H135" s="10"/>
    </row>
    <row r="136" spans="1:8" ht="13">
      <c r="A136" s="7"/>
      <c r="B136" s="7"/>
      <c r="C136" s="7"/>
      <c r="D136" s="8"/>
      <c r="E136" s="8"/>
      <c r="F136" s="8"/>
      <c r="G136" s="8"/>
      <c r="H136" s="10"/>
    </row>
    <row r="137" spans="1:8" ht="13">
      <c r="A137" s="7"/>
      <c r="B137" s="7"/>
      <c r="C137" s="7"/>
      <c r="D137" s="8"/>
      <c r="E137" s="8"/>
      <c r="F137" s="8"/>
      <c r="G137" s="8"/>
      <c r="H137" s="10"/>
    </row>
    <row r="138" spans="1:8" ht="13">
      <c r="A138" s="7"/>
      <c r="B138" s="7"/>
      <c r="C138" s="7"/>
      <c r="D138" s="8"/>
      <c r="E138" s="8"/>
      <c r="F138" s="8"/>
      <c r="G138" s="8"/>
      <c r="H138" s="10"/>
    </row>
    <row r="139" spans="1:8" ht="13">
      <c r="A139" s="7"/>
      <c r="B139" s="7"/>
      <c r="C139" s="7"/>
      <c r="D139" s="8"/>
      <c r="E139" s="8"/>
      <c r="F139" s="8"/>
      <c r="G139" s="8"/>
      <c r="H139" s="10"/>
    </row>
    <row r="140" spans="1:8" ht="13">
      <c r="A140" s="7"/>
      <c r="B140" s="7"/>
      <c r="C140" s="7"/>
      <c r="D140" s="8"/>
      <c r="E140" s="8"/>
      <c r="F140" s="8"/>
      <c r="G140" s="8"/>
      <c r="H140" s="10"/>
    </row>
    <row r="141" spans="1:8" ht="13">
      <c r="A141" s="7"/>
      <c r="B141" s="7"/>
      <c r="C141" s="7"/>
      <c r="D141" s="8"/>
      <c r="E141" s="8"/>
      <c r="F141" s="8"/>
      <c r="G141" s="8"/>
      <c r="H141" s="10"/>
    </row>
    <row r="142" spans="1:8" ht="13">
      <c r="A142" s="7"/>
      <c r="B142" s="7"/>
      <c r="C142" s="7"/>
      <c r="D142" s="8"/>
      <c r="E142" s="8"/>
      <c r="F142" s="8"/>
      <c r="G142" s="8"/>
      <c r="H142" s="10"/>
    </row>
    <row r="143" spans="1:8" ht="13">
      <c r="A143" s="7"/>
      <c r="B143" s="7"/>
      <c r="C143" s="7"/>
      <c r="D143" s="8"/>
      <c r="E143" s="8"/>
      <c r="F143" s="8"/>
      <c r="G143" s="8"/>
      <c r="H143" s="10"/>
    </row>
    <row r="144" spans="1:8" ht="13">
      <c r="A144" s="7"/>
      <c r="B144" s="7"/>
      <c r="C144" s="7"/>
      <c r="D144" s="8"/>
      <c r="E144" s="8"/>
      <c r="F144" s="8"/>
      <c r="G144" s="8"/>
      <c r="H144" s="10"/>
    </row>
    <row r="145" spans="1:8" ht="13">
      <c r="A145" s="7"/>
      <c r="B145" s="7"/>
      <c r="C145" s="7"/>
      <c r="D145" s="8"/>
      <c r="E145" s="8"/>
      <c r="F145" s="8"/>
      <c r="G145" s="8"/>
      <c r="H145" s="10"/>
    </row>
    <row r="146" spans="1:8" ht="13">
      <c r="A146" s="7"/>
      <c r="B146" s="7"/>
      <c r="C146" s="7"/>
      <c r="D146" s="8"/>
      <c r="E146" s="8"/>
      <c r="F146" s="8"/>
      <c r="G146" s="8"/>
      <c r="H146" s="10"/>
    </row>
    <row r="147" spans="1:8" ht="13">
      <c r="A147" s="7"/>
      <c r="B147" s="7"/>
      <c r="C147" s="7"/>
      <c r="D147" s="8"/>
      <c r="E147" s="8"/>
      <c r="F147" s="8"/>
      <c r="G147" s="8"/>
      <c r="H147" s="10"/>
    </row>
    <row r="148" spans="1:8" ht="13">
      <c r="A148" s="7"/>
      <c r="B148" s="7"/>
      <c r="C148" s="7"/>
      <c r="D148" s="8"/>
      <c r="E148" s="8"/>
      <c r="F148" s="8"/>
      <c r="G148" s="8"/>
      <c r="H148" s="10"/>
    </row>
    <row r="149" spans="1:8" ht="13">
      <c r="A149" s="7"/>
      <c r="B149" s="7"/>
      <c r="C149" s="7"/>
      <c r="D149" s="8"/>
      <c r="E149" s="8"/>
      <c r="F149" s="8"/>
      <c r="G149" s="8"/>
      <c r="H149" s="10"/>
    </row>
    <row r="150" spans="1:8" ht="13">
      <c r="A150" s="7"/>
      <c r="B150" s="7"/>
      <c r="C150" s="7"/>
      <c r="D150" s="8"/>
      <c r="E150" s="8"/>
      <c r="F150" s="8"/>
      <c r="G150" s="8"/>
      <c r="H150" s="10"/>
    </row>
    <row r="151" spans="1:8" ht="13">
      <c r="A151" s="7"/>
      <c r="B151" s="7"/>
      <c r="C151" s="7"/>
      <c r="D151" s="8"/>
      <c r="E151" s="8"/>
      <c r="F151" s="8"/>
      <c r="G151" s="8"/>
      <c r="H151" s="10"/>
    </row>
    <row r="152" spans="1:8" ht="13">
      <c r="A152" s="7"/>
      <c r="B152" s="7"/>
      <c r="C152" s="7"/>
      <c r="D152" s="8"/>
      <c r="E152" s="8"/>
      <c r="F152" s="8"/>
      <c r="G152" s="8"/>
      <c r="H152" s="10"/>
    </row>
    <row r="153" spans="1:8" ht="13">
      <c r="A153" s="7"/>
      <c r="B153" s="7"/>
      <c r="C153" s="7"/>
      <c r="D153" s="8"/>
      <c r="E153" s="8"/>
      <c r="F153" s="8"/>
      <c r="G153" s="8"/>
      <c r="H153" s="10"/>
    </row>
    <row r="154" spans="1:8" ht="13">
      <c r="A154" s="7"/>
      <c r="B154" s="7"/>
      <c r="C154" s="7"/>
      <c r="D154" s="8"/>
      <c r="E154" s="8"/>
      <c r="F154" s="8"/>
      <c r="G154" s="8"/>
      <c r="H154" s="10"/>
    </row>
    <row r="155" spans="1:8" ht="13">
      <c r="A155" s="7"/>
      <c r="B155" s="7"/>
      <c r="C155" s="7"/>
      <c r="D155" s="8"/>
      <c r="E155" s="8"/>
      <c r="F155" s="8"/>
      <c r="G155" s="8"/>
      <c r="H155" s="10"/>
    </row>
    <row r="156" spans="1:8" ht="13">
      <c r="A156" s="7"/>
      <c r="B156" s="7"/>
      <c r="C156" s="7"/>
      <c r="D156" s="8"/>
      <c r="E156" s="8"/>
      <c r="F156" s="8"/>
      <c r="G156" s="8"/>
      <c r="H156" s="10"/>
    </row>
    <row r="157" spans="1:8" ht="13">
      <c r="A157" s="7"/>
      <c r="B157" s="7"/>
      <c r="C157" s="7"/>
      <c r="D157" s="8"/>
      <c r="E157" s="8"/>
      <c r="F157" s="8"/>
      <c r="G157" s="8"/>
      <c r="H157" s="10"/>
    </row>
    <row r="158" spans="1:8" ht="13">
      <c r="A158" s="7"/>
      <c r="B158" s="7"/>
      <c r="C158" s="7"/>
      <c r="D158" s="8"/>
      <c r="E158" s="8"/>
      <c r="F158" s="8"/>
      <c r="G158" s="8"/>
      <c r="H158" s="10"/>
    </row>
    <row r="159" spans="1:8" ht="13">
      <c r="A159" s="7"/>
      <c r="B159" s="7"/>
      <c r="C159" s="7"/>
      <c r="D159" s="8"/>
      <c r="E159" s="8"/>
      <c r="F159" s="8"/>
      <c r="G159" s="8"/>
      <c r="H159" s="10"/>
    </row>
    <row r="160" spans="1:8" ht="13">
      <c r="A160" s="7"/>
      <c r="B160" s="7"/>
      <c r="C160" s="7"/>
      <c r="D160" s="8"/>
      <c r="E160" s="8"/>
      <c r="F160" s="8"/>
      <c r="G160" s="8"/>
      <c r="H160" s="10"/>
    </row>
    <row r="161" spans="1:8" ht="13">
      <c r="A161" s="7"/>
      <c r="B161" s="7"/>
      <c r="C161" s="7"/>
      <c r="D161" s="8"/>
      <c r="E161" s="8"/>
      <c r="F161" s="8"/>
      <c r="G161" s="8"/>
      <c r="H161" s="10"/>
    </row>
    <row r="162" spans="1:8" ht="13">
      <c r="A162" s="7"/>
      <c r="B162" s="7"/>
      <c r="C162" s="7"/>
      <c r="D162" s="8"/>
      <c r="E162" s="8"/>
      <c r="F162" s="8"/>
      <c r="G162" s="8"/>
      <c r="H162" s="10"/>
    </row>
    <row r="163" spans="1:8" ht="13">
      <c r="A163" s="7"/>
      <c r="B163" s="7"/>
      <c r="C163" s="7"/>
      <c r="D163" s="8"/>
      <c r="E163" s="8"/>
      <c r="F163" s="8"/>
      <c r="G163" s="8"/>
      <c r="H163" s="10"/>
    </row>
    <row r="164" spans="1:8" ht="13">
      <c r="A164" s="7"/>
      <c r="B164" s="7"/>
      <c r="C164" s="7"/>
      <c r="D164" s="8"/>
      <c r="E164" s="8"/>
      <c r="F164" s="8"/>
      <c r="G164" s="8"/>
      <c r="H164" s="10"/>
    </row>
    <row r="165" spans="1:8" ht="13">
      <c r="A165" s="7"/>
      <c r="B165" s="7"/>
      <c r="C165" s="7"/>
      <c r="D165" s="8"/>
      <c r="E165" s="8"/>
      <c r="F165" s="8"/>
      <c r="G165" s="8"/>
      <c r="H165" s="10"/>
    </row>
    <row r="166" spans="1:8" ht="13">
      <c r="A166" s="7"/>
      <c r="B166" s="7"/>
      <c r="C166" s="7"/>
      <c r="D166" s="8"/>
      <c r="E166" s="8"/>
      <c r="F166" s="8"/>
      <c r="G166" s="8"/>
      <c r="H166" s="10"/>
    </row>
    <row r="167" spans="1:8" ht="13">
      <c r="A167" s="7"/>
      <c r="B167" s="7"/>
      <c r="C167" s="7"/>
      <c r="D167" s="8"/>
      <c r="E167" s="8"/>
      <c r="F167" s="8"/>
      <c r="G167" s="8"/>
      <c r="H167" s="10"/>
    </row>
    <row r="168" spans="1:8" ht="13">
      <c r="A168" s="7"/>
      <c r="B168" s="7"/>
      <c r="C168" s="7"/>
      <c r="D168" s="8"/>
      <c r="E168" s="8"/>
      <c r="F168" s="8"/>
      <c r="G168" s="8"/>
      <c r="H168" s="10"/>
    </row>
    <row r="169" spans="1:8" ht="13">
      <c r="A169" s="7"/>
      <c r="B169" s="7"/>
      <c r="C169" s="7"/>
      <c r="D169" s="8"/>
      <c r="E169" s="8"/>
      <c r="F169" s="8"/>
      <c r="G169" s="8"/>
      <c r="H169" s="10"/>
    </row>
    <row r="170" spans="1:8" ht="13">
      <c r="A170" s="7"/>
      <c r="B170" s="7"/>
      <c r="C170" s="7"/>
      <c r="D170" s="8"/>
      <c r="E170" s="8"/>
      <c r="F170" s="8"/>
      <c r="G170" s="8"/>
      <c r="H170" s="10"/>
    </row>
    <row r="171" spans="1:8" ht="13">
      <c r="A171" s="7"/>
      <c r="B171" s="7"/>
      <c r="C171" s="7"/>
      <c r="D171" s="8"/>
      <c r="E171" s="8"/>
      <c r="F171" s="8"/>
      <c r="G171" s="8"/>
      <c r="H171" s="10"/>
    </row>
    <row r="172" spans="1:8" ht="13">
      <c r="A172" s="7"/>
      <c r="B172" s="7"/>
      <c r="C172" s="7"/>
      <c r="D172" s="8"/>
      <c r="E172" s="8"/>
      <c r="F172" s="8"/>
      <c r="G172" s="8"/>
      <c r="H172" s="10"/>
    </row>
    <row r="173" spans="1:8" ht="13">
      <c r="A173" s="7"/>
      <c r="B173" s="7"/>
      <c r="C173" s="7"/>
      <c r="D173" s="8"/>
      <c r="E173" s="8"/>
      <c r="F173" s="8"/>
      <c r="G173" s="8"/>
      <c r="H173" s="10"/>
    </row>
    <row r="174" spans="1:8" ht="13">
      <c r="A174" s="7"/>
      <c r="B174" s="7"/>
      <c r="C174" s="7"/>
      <c r="D174" s="8"/>
      <c r="E174" s="8"/>
      <c r="F174" s="8"/>
      <c r="G174" s="8"/>
      <c r="H174" s="10"/>
    </row>
    <row r="175" spans="1:8" ht="13">
      <c r="A175" s="7"/>
      <c r="B175" s="7"/>
      <c r="C175" s="7"/>
      <c r="D175" s="8"/>
      <c r="E175" s="8"/>
      <c r="F175" s="8"/>
      <c r="G175" s="8"/>
      <c r="H175" s="10"/>
    </row>
    <row r="176" spans="1:8" ht="13">
      <c r="A176" s="7"/>
      <c r="B176" s="7"/>
      <c r="C176" s="7"/>
      <c r="D176" s="8"/>
      <c r="E176" s="8"/>
      <c r="F176" s="8"/>
      <c r="G176" s="8"/>
      <c r="H176" s="10"/>
    </row>
    <row r="177" spans="1:8" ht="13">
      <c r="A177" s="7"/>
      <c r="B177" s="7"/>
      <c r="C177" s="7"/>
      <c r="D177" s="8"/>
      <c r="E177" s="8"/>
      <c r="F177" s="8"/>
      <c r="G177" s="8"/>
      <c r="H177" s="10"/>
    </row>
    <row r="178" spans="1:8" ht="13">
      <c r="A178" s="7"/>
      <c r="B178" s="7"/>
      <c r="C178" s="7"/>
      <c r="D178" s="8"/>
      <c r="E178" s="8"/>
      <c r="F178" s="8"/>
      <c r="G178" s="8"/>
      <c r="H178" s="10"/>
    </row>
    <row r="179" spans="1:8" ht="13">
      <c r="A179" s="7"/>
      <c r="B179" s="7"/>
      <c r="C179" s="7"/>
      <c r="D179" s="8"/>
      <c r="E179" s="8"/>
      <c r="F179" s="8"/>
      <c r="G179" s="8"/>
      <c r="H179" s="10"/>
    </row>
    <row r="180" spans="1:8" ht="13">
      <c r="A180" s="7"/>
      <c r="B180" s="7"/>
      <c r="C180" s="7"/>
      <c r="D180" s="8"/>
      <c r="E180" s="8"/>
      <c r="F180" s="8"/>
      <c r="G180" s="8"/>
      <c r="H180" s="10"/>
    </row>
    <row r="181" spans="1:8" ht="13">
      <c r="A181" s="7"/>
      <c r="B181" s="7"/>
      <c r="C181" s="7"/>
      <c r="D181" s="8"/>
      <c r="E181" s="8"/>
      <c r="F181" s="8"/>
      <c r="G181" s="8"/>
      <c r="H181" s="10"/>
    </row>
    <row r="182" spans="1:8" ht="13">
      <c r="A182" s="7"/>
      <c r="B182" s="7"/>
      <c r="C182" s="7"/>
      <c r="D182" s="8"/>
      <c r="E182" s="8"/>
      <c r="F182" s="8"/>
      <c r="G182" s="8"/>
      <c r="H182" s="10"/>
    </row>
    <row r="183" spans="1:8" ht="13">
      <c r="A183" s="7"/>
      <c r="B183" s="7"/>
      <c r="C183" s="7"/>
      <c r="D183" s="8"/>
      <c r="E183" s="8"/>
      <c r="F183" s="8"/>
      <c r="G183" s="8"/>
      <c r="H183" s="10"/>
    </row>
    <row r="184" spans="1:8" ht="13">
      <c r="A184" s="7"/>
      <c r="B184" s="7"/>
      <c r="C184" s="7"/>
      <c r="D184" s="8"/>
      <c r="E184" s="8"/>
      <c r="F184" s="8"/>
      <c r="G184" s="8"/>
      <c r="H184" s="10"/>
    </row>
    <row r="185" spans="1:8" ht="13">
      <c r="A185" s="7"/>
      <c r="B185" s="7"/>
      <c r="C185" s="7"/>
      <c r="D185" s="8"/>
      <c r="E185" s="8"/>
      <c r="F185" s="8"/>
      <c r="G185" s="8"/>
      <c r="H185" s="10"/>
    </row>
    <row r="186" spans="1:8" ht="13">
      <c r="A186" s="7"/>
      <c r="B186" s="7"/>
      <c r="C186" s="7"/>
      <c r="D186" s="8"/>
      <c r="E186" s="8"/>
      <c r="F186" s="8"/>
      <c r="G186" s="8"/>
      <c r="H186" s="10"/>
    </row>
    <row r="187" spans="1:8" ht="13">
      <c r="A187" s="7"/>
      <c r="B187" s="7"/>
      <c r="C187" s="7"/>
      <c r="D187" s="8"/>
      <c r="E187" s="8"/>
      <c r="F187" s="8"/>
      <c r="G187" s="8"/>
      <c r="H187" s="10"/>
    </row>
    <row r="188" spans="1:8" ht="13">
      <c r="A188" s="7"/>
      <c r="B188" s="7"/>
      <c r="C188" s="7"/>
      <c r="D188" s="8"/>
      <c r="E188" s="8"/>
      <c r="F188" s="8"/>
      <c r="G188" s="8"/>
      <c r="H188" s="10"/>
    </row>
    <row r="189" spans="1:8" ht="13">
      <c r="A189" s="7"/>
      <c r="B189" s="7"/>
      <c r="C189" s="7"/>
      <c r="D189" s="8"/>
      <c r="E189" s="8"/>
      <c r="F189" s="8"/>
      <c r="G189" s="8"/>
      <c r="H189" s="10"/>
    </row>
    <row r="190" spans="1:8" ht="13">
      <c r="A190" s="7"/>
      <c r="B190" s="7"/>
      <c r="C190" s="7"/>
      <c r="D190" s="8"/>
      <c r="E190" s="8"/>
      <c r="F190" s="8"/>
      <c r="G190" s="8"/>
      <c r="H190" s="10"/>
    </row>
    <row r="191" spans="1:8" ht="13">
      <c r="A191" s="7"/>
      <c r="B191" s="7"/>
      <c r="C191" s="7"/>
      <c r="D191" s="8"/>
      <c r="E191" s="8"/>
      <c r="F191" s="8"/>
      <c r="G191" s="8"/>
      <c r="H191" s="10"/>
    </row>
    <row r="192" spans="1:8" ht="13">
      <c r="A192" s="7"/>
      <c r="B192" s="7"/>
      <c r="C192" s="7"/>
      <c r="D192" s="8"/>
      <c r="E192" s="8"/>
      <c r="F192" s="8"/>
      <c r="G192" s="8"/>
      <c r="H192" s="10"/>
    </row>
    <row r="193" spans="1:8" ht="13">
      <c r="A193" s="7"/>
      <c r="B193" s="7"/>
      <c r="C193" s="7"/>
      <c r="D193" s="8"/>
      <c r="E193" s="8"/>
      <c r="F193" s="8"/>
      <c r="G193" s="8"/>
      <c r="H193" s="10"/>
    </row>
    <row r="194" spans="1:8" ht="13">
      <c r="A194" s="7"/>
      <c r="B194" s="7"/>
      <c r="C194" s="7"/>
      <c r="D194" s="8"/>
      <c r="E194" s="8"/>
      <c r="F194" s="8"/>
      <c r="G194" s="8"/>
      <c r="H194" s="10"/>
    </row>
    <row r="195" spans="1:8" ht="13">
      <c r="A195" s="7"/>
      <c r="B195" s="7"/>
      <c r="C195" s="7"/>
      <c r="D195" s="8"/>
      <c r="E195" s="8"/>
      <c r="F195" s="8"/>
      <c r="G195" s="8"/>
      <c r="H195" s="10"/>
    </row>
    <row r="196" spans="1:8" ht="13">
      <c r="A196" s="7"/>
      <c r="B196" s="7"/>
      <c r="C196" s="7"/>
      <c r="D196" s="8"/>
      <c r="E196" s="8"/>
      <c r="F196" s="8"/>
      <c r="G196" s="8"/>
      <c r="H196" s="10"/>
    </row>
    <row r="197" spans="1:8" ht="13">
      <c r="A197" s="7"/>
      <c r="B197" s="7"/>
      <c r="C197" s="7"/>
      <c r="D197" s="8"/>
      <c r="E197" s="8"/>
      <c r="F197" s="8"/>
      <c r="G197" s="8"/>
      <c r="H197" s="10"/>
    </row>
    <row r="198" spans="1:8" ht="13">
      <c r="A198" s="7"/>
      <c r="B198" s="7"/>
      <c r="C198" s="7"/>
      <c r="D198" s="8"/>
      <c r="E198" s="8"/>
      <c r="F198" s="8"/>
      <c r="G198" s="8"/>
      <c r="H198" s="10"/>
    </row>
    <row r="199" spans="1:8" ht="13">
      <c r="A199" s="7"/>
      <c r="B199" s="7"/>
      <c r="C199" s="7"/>
      <c r="D199" s="8"/>
      <c r="E199" s="8"/>
      <c r="F199" s="8"/>
      <c r="G199" s="8"/>
      <c r="H199" s="10"/>
    </row>
    <row r="200" spans="1:8" ht="13">
      <c r="A200" s="7"/>
      <c r="B200" s="7"/>
      <c r="C200" s="7"/>
      <c r="D200" s="8"/>
      <c r="E200" s="8"/>
      <c r="F200" s="8"/>
      <c r="G200" s="8"/>
      <c r="H200" s="10"/>
    </row>
    <row r="201" spans="1:8" ht="13">
      <c r="A201" s="7"/>
      <c r="B201" s="7"/>
      <c r="C201" s="7"/>
      <c r="D201" s="8"/>
      <c r="E201" s="8"/>
      <c r="F201" s="8"/>
      <c r="G201" s="8"/>
      <c r="H201" s="10"/>
    </row>
    <row r="202" spans="1:8" ht="13">
      <c r="A202" s="7"/>
      <c r="B202" s="7"/>
      <c r="C202" s="7"/>
      <c r="D202" s="8"/>
      <c r="E202" s="8"/>
      <c r="F202" s="8"/>
      <c r="G202" s="8"/>
      <c r="H202" s="10"/>
    </row>
    <row r="203" spans="1:8" ht="13">
      <c r="A203" s="7"/>
      <c r="B203" s="7"/>
      <c r="C203" s="7"/>
      <c r="D203" s="8"/>
      <c r="E203" s="8"/>
      <c r="F203" s="8"/>
      <c r="G203" s="8"/>
      <c r="H203" s="10"/>
    </row>
    <row r="204" spans="1:8" ht="13">
      <c r="A204" s="7"/>
      <c r="B204" s="7"/>
      <c r="C204" s="7"/>
      <c r="D204" s="8"/>
      <c r="E204" s="8"/>
      <c r="F204" s="8"/>
      <c r="G204" s="8"/>
      <c r="H204" s="10"/>
    </row>
    <row r="205" spans="1:8" ht="13">
      <c r="A205" s="7"/>
      <c r="B205" s="7"/>
      <c r="C205" s="7"/>
      <c r="D205" s="8"/>
      <c r="E205" s="8"/>
      <c r="F205" s="8"/>
      <c r="G205" s="8"/>
      <c r="H205" s="10"/>
    </row>
    <row r="206" spans="1:8" ht="13">
      <c r="A206" s="7"/>
      <c r="B206" s="7"/>
      <c r="C206" s="7"/>
      <c r="D206" s="8"/>
      <c r="E206" s="8"/>
      <c r="F206" s="8"/>
      <c r="G206" s="8"/>
      <c r="H206" s="10"/>
    </row>
    <row r="207" spans="1:8" ht="13">
      <c r="A207" s="7"/>
      <c r="B207" s="7"/>
      <c r="C207" s="7"/>
      <c r="D207" s="8"/>
      <c r="E207" s="8"/>
      <c r="F207" s="8"/>
      <c r="G207" s="8"/>
      <c r="H207" s="10"/>
    </row>
    <row r="208" spans="1:8" ht="13">
      <c r="A208" s="7"/>
      <c r="B208" s="7"/>
      <c r="C208" s="7"/>
      <c r="D208" s="8"/>
      <c r="E208" s="8"/>
      <c r="F208" s="8"/>
      <c r="G208" s="8"/>
      <c r="H208" s="10"/>
    </row>
    <row r="209" spans="1:8" ht="13">
      <c r="A209" s="7"/>
      <c r="B209" s="7"/>
      <c r="C209" s="7"/>
      <c r="D209" s="8"/>
      <c r="E209" s="8"/>
      <c r="F209" s="8"/>
      <c r="G209" s="8"/>
      <c r="H209" s="10"/>
    </row>
    <row r="210" spans="1:8" ht="13">
      <c r="A210" s="7"/>
      <c r="B210" s="7"/>
      <c r="C210" s="7"/>
      <c r="D210" s="8"/>
      <c r="E210" s="8"/>
      <c r="F210" s="8"/>
      <c r="G210" s="8"/>
      <c r="H210" s="10"/>
    </row>
    <row r="211" spans="1:8" ht="13">
      <c r="A211" s="7"/>
      <c r="B211" s="7"/>
      <c r="C211" s="7"/>
      <c r="D211" s="8"/>
      <c r="E211" s="8"/>
      <c r="F211" s="8"/>
      <c r="G211" s="8"/>
      <c r="H211" s="10"/>
    </row>
    <row r="212" spans="1:8" ht="13">
      <c r="A212" s="7"/>
      <c r="B212" s="7"/>
      <c r="C212" s="7"/>
      <c r="D212" s="8"/>
      <c r="E212" s="8"/>
      <c r="F212" s="8"/>
      <c r="G212" s="8"/>
      <c r="H212" s="10"/>
    </row>
    <row r="213" spans="1:8" ht="13">
      <c r="A213" s="7"/>
      <c r="B213" s="7"/>
      <c r="C213" s="7"/>
      <c r="D213" s="8"/>
      <c r="E213" s="8"/>
      <c r="F213" s="8"/>
      <c r="G213" s="8"/>
      <c r="H213" s="10"/>
    </row>
    <row r="214" spans="1:8" ht="13">
      <c r="A214" s="7"/>
      <c r="B214" s="7"/>
      <c r="C214" s="7"/>
      <c r="D214" s="8"/>
      <c r="E214" s="8"/>
      <c r="F214" s="8"/>
      <c r="G214" s="8"/>
      <c r="H214" s="10"/>
    </row>
    <row r="215" spans="1:8" ht="13">
      <c r="A215" s="7"/>
      <c r="B215" s="7"/>
      <c r="C215" s="7"/>
      <c r="D215" s="8"/>
      <c r="E215" s="8"/>
      <c r="F215" s="8"/>
      <c r="G215" s="8"/>
      <c r="H215" s="10"/>
    </row>
    <row r="216" spans="1:8" ht="13">
      <c r="A216" s="7"/>
      <c r="B216" s="7"/>
      <c r="C216" s="7"/>
      <c r="D216" s="8"/>
      <c r="E216" s="8"/>
      <c r="F216" s="8"/>
      <c r="G216" s="8"/>
      <c r="H216" s="10"/>
    </row>
    <row r="217" spans="1:8" ht="13">
      <c r="A217" s="7"/>
      <c r="B217" s="7"/>
      <c r="C217" s="7"/>
      <c r="D217" s="8"/>
      <c r="E217" s="8"/>
      <c r="F217" s="8"/>
      <c r="G217" s="8"/>
      <c r="H217" s="10"/>
    </row>
    <row r="218" spans="1:8" ht="13">
      <c r="A218" s="7"/>
      <c r="B218" s="7"/>
      <c r="C218" s="7"/>
      <c r="D218" s="8"/>
      <c r="E218" s="8"/>
      <c r="F218" s="8"/>
      <c r="G218" s="8"/>
      <c r="H218" s="10"/>
    </row>
    <row r="219" spans="1:8" ht="13">
      <c r="A219" s="7"/>
      <c r="B219" s="7"/>
      <c r="C219" s="7"/>
      <c r="D219" s="8"/>
      <c r="E219" s="8"/>
      <c r="F219" s="8"/>
      <c r="G219" s="8"/>
      <c r="H219" s="10"/>
    </row>
    <row r="220" spans="1:8" ht="13">
      <c r="A220" s="7"/>
      <c r="B220" s="7"/>
      <c r="C220" s="7"/>
      <c r="D220" s="8"/>
      <c r="E220" s="8"/>
      <c r="F220" s="8"/>
      <c r="G220" s="8"/>
      <c r="H220" s="10"/>
    </row>
    <row r="221" spans="1:8" ht="13">
      <c r="A221" s="7"/>
      <c r="B221" s="7"/>
      <c r="C221" s="7"/>
      <c r="D221" s="8"/>
      <c r="E221" s="8"/>
      <c r="F221" s="8"/>
      <c r="G221" s="8"/>
      <c r="H221" s="10"/>
    </row>
    <row r="222" spans="1:8" ht="13">
      <c r="A222" s="7"/>
      <c r="B222" s="7"/>
      <c r="C222" s="7"/>
      <c r="D222" s="8"/>
      <c r="E222" s="8"/>
      <c r="F222" s="8"/>
      <c r="G222" s="8"/>
      <c r="H222" s="10"/>
    </row>
    <row r="223" spans="1:8" ht="13">
      <c r="A223" s="7"/>
      <c r="B223" s="7"/>
      <c r="C223" s="7"/>
      <c r="D223" s="8"/>
      <c r="E223" s="8"/>
      <c r="F223" s="8"/>
      <c r="G223" s="8"/>
      <c r="H223" s="10"/>
    </row>
    <row r="224" spans="1:8" ht="13">
      <c r="A224" s="7"/>
      <c r="B224" s="7"/>
      <c r="C224" s="7"/>
      <c r="D224" s="8"/>
      <c r="E224" s="8"/>
      <c r="F224" s="8"/>
      <c r="G224" s="8"/>
      <c r="H224" s="10"/>
    </row>
    <row r="225" spans="1:8" ht="13">
      <c r="A225" s="7"/>
      <c r="B225" s="7"/>
      <c r="C225" s="7"/>
      <c r="D225" s="8"/>
      <c r="E225" s="8"/>
      <c r="F225" s="8"/>
      <c r="G225" s="8"/>
      <c r="H225" s="10"/>
    </row>
    <row r="226" spans="1:8" ht="13">
      <c r="A226" s="7"/>
      <c r="B226" s="7"/>
      <c r="C226" s="7"/>
      <c r="D226" s="8"/>
      <c r="E226" s="8"/>
      <c r="F226" s="8"/>
      <c r="G226" s="8"/>
      <c r="H226" s="10"/>
    </row>
    <row r="227" spans="1:8" ht="13">
      <c r="A227" s="7"/>
      <c r="B227" s="7"/>
      <c r="C227" s="7"/>
      <c r="D227" s="8"/>
      <c r="E227" s="8"/>
      <c r="F227" s="8"/>
      <c r="G227" s="8"/>
      <c r="H227" s="10"/>
    </row>
    <row r="228" spans="1:8" ht="13">
      <c r="A228" s="7"/>
      <c r="B228" s="7"/>
      <c r="C228" s="7"/>
      <c r="D228" s="8"/>
      <c r="E228" s="8"/>
      <c r="F228" s="8"/>
      <c r="G228" s="8"/>
      <c r="H228" s="10"/>
    </row>
    <row r="229" spans="1:8" ht="13">
      <c r="A229" s="7"/>
      <c r="B229" s="7"/>
      <c r="C229" s="7"/>
      <c r="D229" s="8"/>
      <c r="E229" s="8"/>
      <c r="F229" s="8"/>
      <c r="G229" s="8"/>
      <c r="H229" s="10"/>
    </row>
    <row r="230" spans="1:8" ht="13">
      <c r="A230" s="7"/>
      <c r="B230" s="7"/>
      <c r="C230" s="7"/>
      <c r="D230" s="8"/>
      <c r="E230" s="8"/>
      <c r="F230" s="8"/>
      <c r="G230" s="8"/>
      <c r="H230" s="10"/>
    </row>
    <row r="231" spans="1:8" ht="13">
      <c r="A231" s="7"/>
      <c r="B231" s="7"/>
      <c r="C231" s="7"/>
      <c r="D231" s="8"/>
      <c r="E231" s="8"/>
      <c r="F231" s="8"/>
      <c r="G231" s="8"/>
      <c r="H231" s="10"/>
    </row>
    <row r="232" spans="1:8" ht="13">
      <c r="A232" s="7"/>
      <c r="B232" s="7"/>
      <c r="C232" s="7"/>
      <c r="D232" s="8"/>
      <c r="E232" s="8"/>
      <c r="F232" s="8"/>
      <c r="G232" s="8"/>
      <c r="H232" s="10"/>
    </row>
    <row r="233" spans="1:8" ht="13">
      <c r="A233" s="7"/>
      <c r="B233" s="7"/>
      <c r="C233" s="7"/>
      <c r="D233" s="8"/>
      <c r="E233" s="8"/>
      <c r="F233" s="8"/>
      <c r="G233" s="8"/>
      <c r="H233" s="10"/>
    </row>
    <row r="234" spans="1:8" ht="13">
      <c r="A234" s="7"/>
      <c r="B234" s="7"/>
      <c r="C234" s="7"/>
      <c r="D234" s="8"/>
      <c r="E234" s="8"/>
      <c r="F234" s="8"/>
      <c r="G234" s="8"/>
      <c r="H234" s="10"/>
    </row>
    <row r="235" spans="1:8" ht="13">
      <c r="A235" s="7"/>
      <c r="B235" s="7"/>
      <c r="C235" s="7"/>
      <c r="D235" s="8"/>
      <c r="E235" s="8"/>
      <c r="F235" s="8"/>
      <c r="G235" s="8"/>
      <c r="H235" s="10"/>
    </row>
    <row r="236" spans="1:8" ht="13">
      <c r="A236" s="7"/>
      <c r="B236" s="7"/>
      <c r="C236" s="7"/>
      <c r="D236" s="8"/>
      <c r="E236" s="8"/>
      <c r="F236" s="8"/>
      <c r="G236" s="8"/>
      <c r="H236" s="10"/>
    </row>
    <row r="237" spans="1:8" ht="13">
      <c r="A237" s="7"/>
      <c r="B237" s="7"/>
      <c r="C237" s="7"/>
      <c r="D237" s="8"/>
      <c r="E237" s="8"/>
      <c r="F237" s="8"/>
      <c r="G237" s="8"/>
      <c r="H237" s="10"/>
    </row>
    <row r="238" spans="1:8" ht="13">
      <c r="A238" s="7"/>
      <c r="B238" s="7"/>
      <c r="C238" s="7"/>
      <c r="D238" s="8"/>
      <c r="E238" s="8"/>
      <c r="F238" s="8"/>
      <c r="G238" s="8"/>
      <c r="H238" s="10"/>
    </row>
    <row r="239" spans="1:8" ht="13">
      <c r="A239" s="7"/>
      <c r="B239" s="7"/>
      <c r="C239" s="7"/>
      <c r="D239" s="8"/>
      <c r="E239" s="8"/>
      <c r="F239" s="8"/>
      <c r="G239" s="8"/>
      <c r="H239" s="10"/>
    </row>
    <row r="240" spans="1:8" ht="13">
      <c r="A240" s="7"/>
      <c r="B240" s="7"/>
      <c r="C240" s="7"/>
      <c r="D240" s="8"/>
      <c r="E240" s="8"/>
      <c r="F240" s="8"/>
      <c r="G240" s="8"/>
      <c r="H240" s="10"/>
    </row>
    <row r="241" spans="1:8" ht="13">
      <c r="A241" s="7"/>
      <c r="B241" s="7"/>
      <c r="C241" s="7"/>
      <c r="D241" s="8"/>
      <c r="E241" s="8"/>
      <c r="F241" s="8"/>
      <c r="G241" s="8"/>
      <c r="H241" s="10"/>
    </row>
    <row r="242" spans="1:8" ht="13">
      <c r="A242" s="7"/>
      <c r="B242" s="7"/>
      <c r="C242" s="7"/>
      <c r="D242" s="8"/>
      <c r="E242" s="8"/>
      <c r="F242" s="8"/>
      <c r="G242" s="8"/>
      <c r="H242" s="10"/>
    </row>
    <row r="243" spans="1:8" ht="13">
      <c r="A243" s="7"/>
      <c r="B243" s="7"/>
      <c r="C243" s="7"/>
      <c r="D243" s="8"/>
      <c r="E243" s="8"/>
      <c r="F243" s="8"/>
      <c r="G243" s="8"/>
      <c r="H243" s="10"/>
    </row>
    <row r="244" spans="1:8" ht="13">
      <c r="A244" s="7"/>
      <c r="B244" s="7"/>
      <c r="C244" s="7"/>
      <c r="D244" s="8"/>
      <c r="E244" s="8"/>
      <c r="F244" s="8"/>
      <c r="G244" s="8"/>
      <c r="H244" s="10"/>
    </row>
    <row r="245" spans="1:8" ht="13">
      <c r="A245" s="7"/>
      <c r="B245" s="7"/>
      <c r="C245" s="7"/>
      <c r="D245" s="8"/>
      <c r="E245" s="8"/>
      <c r="F245" s="8"/>
      <c r="G245" s="8"/>
      <c r="H245" s="10"/>
    </row>
    <row r="246" spans="1:8" ht="13">
      <c r="A246" s="7"/>
      <c r="B246" s="7"/>
      <c r="C246" s="7"/>
      <c r="D246" s="8"/>
      <c r="E246" s="8"/>
      <c r="F246" s="8"/>
      <c r="G246" s="8"/>
      <c r="H246" s="10"/>
    </row>
    <row r="247" spans="1:8" ht="13">
      <c r="A247" s="7"/>
      <c r="B247" s="7"/>
      <c r="C247" s="7"/>
      <c r="D247" s="8"/>
      <c r="E247" s="8"/>
      <c r="F247" s="8"/>
      <c r="G247" s="8"/>
      <c r="H247" s="10"/>
    </row>
    <row r="248" spans="1:8" ht="13">
      <c r="A248" s="7"/>
      <c r="B248" s="7"/>
      <c r="C248" s="7"/>
      <c r="D248" s="8"/>
      <c r="E248" s="8"/>
      <c r="F248" s="8"/>
      <c r="G248" s="8"/>
      <c r="H248" s="10"/>
    </row>
    <row r="249" spans="1:8" ht="13">
      <c r="A249" s="7"/>
      <c r="B249" s="7"/>
      <c r="C249" s="7"/>
      <c r="D249" s="8"/>
      <c r="E249" s="8"/>
      <c r="F249" s="8"/>
      <c r="G249" s="8"/>
      <c r="H249" s="10"/>
    </row>
    <row r="250" spans="1:8" ht="13">
      <c r="A250" s="7"/>
      <c r="B250" s="7"/>
      <c r="C250" s="7"/>
      <c r="D250" s="8"/>
      <c r="E250" s="8"/>
      <c r="F250" s="8"/>
      <c r="G250" s="8"/>
      <c r="H250" s="10"/>
    </row>
    <row r="251" spans="1:8" ht="13">
      <c r="A251" s="7"/>
      <c r="B251" s="7"/>
      <c r="C251" s="7"/>
      <c r="D251" s="8"/>
      <c r="E251" s="8"/>
      <c r="F251" s="8"/>
      <c r="G251" s="8"/>
      <c r="H251" s="10"/>
    </row>
    <row r="252" spans="1:8" ht="13">
      <c r="A252" s="7"/>
      <c r="B252" s="7"/>
      <c r="C252" s="7"/>
      <c r="D252" s="8"/>
      <c r="E252" s="8"/>
      <c r="F252" s="8"/>
      <c r="G252" s="8"/>
      <c r="H252" s="10"/>
    </row>
    <row r="253" spans="1:8" ht="13">
      <c r="A253" s="7"/>
      <c r="B253" s="7"/>
      <c r="C253" s="7"/>
      <c r="D253" s="8"/>
      <c r="E253" s="8"/>
      <c r="F253" s="8"/>
      <c r="G253" s="8"/>
      <c r="H253" s="10"/>
    </row>
    <row r="254" spans="1:8" ht="13">
      <c r="A254" s="7"/>
      <c r="B254" s="7"/>
      <c r="C254" s="7"/>
      <c r="D254" s="8"/>
      <c r="E254" s="8"/>
      <c r="F254" s="8"/>
      <c r="G254" s="8"/>
      <c r="H254" s="10"/>
    </row>
    <row r="255" spans="1:8" ht="13">
      <c r="A255" s="7"/>
      <c r="B255" s="7"/>
      <c r="C255" s="7"/>
      <c r="D255" s="8"/>
      <c r="E255" s="8"/>
      <c r="F255" s="8"/>
      <c r="G255" s="8"/>
      <c r="H255" s="10"/>
    </row>
    <row r="256" spans="1:8" ht="13">
      <c r="A256" s="7"/>
      <c r="B256" s="7"/>
      <c r="C256" s="7"/>
      <c r="D256" s="8"/>
      <c r="E256" s="8"/>
      <c r="F256" s="8"/>
      <c r="G256" s="8"/>
      <c r="H256" s="10"/>
    </row>
    <row r="257" spans="1:8" ht="13">
      <c r="A257" s="7"/>
      <c r="B257" s="7"/>
      <c r="C257" s="7"/>
      <c r="D257" s="8"/>
      <c r="E257" s="8"/>
      <c r="F257" s="8"/>
      <c r="G257" s="8"/>
      <c r="H257" s="10"/>
    </row>
    <row r="258" spans="1:8" ht="13">
      <c r="A258" s="7"/>
      <c r="B258" s="7"/>
      <c r="C258" s="7"/>
      <c r="D258" s="8"/>
      <c r="E258" s="8"/>
      <c r="F258" s="8"/>
      <c r="G258" s="8"/>
      <c r="H258" s="10"/>
    </row>
    <row r="259" spans="1:8" ht="13">
      <c r="A259" s="7"/>
      <c r="B259" s="7"/>
      <c r="C259" s="7"/>
      <c r="D259" s="8"/>
      <c r="E259" s="8"/>
      <c r="F259" s="8"/>
      <c r="G259" s="8"/>
      <c r="H259" s="10"/>
    </row>
    <row r="260" spans="1:8" ht="13">
      <c r="A260" s="7"/>
      <c r="B260" s="7"/>
      <c r="C260" s="7"/>
      <c r="D260" s="8"/>
      <c r="E260" s="8"/>
      <c r="F260" s="8"/>
      <c r="G260" s="8"/>
      <c r="H260" s="10"/>
    </row>
    <row r="261" spans="1:8" ht="13">
      <c r="A261" s="7"/>
      <c r="B261" s="7"/>
      <c r="C261" s="7"/>
      <c r="D261" s="8"/>
      <c r="E261" s="8"/>
      <c r="F261" s="8"/>
      <c r="G261" s="8"/>
      <c r="H261" s="10"/>
    </row>
    <row r="262" spans="1:8" ht="13">
      <c r="A262" s="7"/>
      <c r="B262" s="7"/>
      <c r="C262" s="7"/>
      <c r="D262" s="8"/>
      <c r="E262" s="8"/>
      <c r="F262" s="8"/>
      <c r="G262" s="8"/>
      <c r="H262" s="10"/>
    </row>
    <row r="263" spans="1:8" ht="13">
      <c r="A263" s="7"/>
      <c r="B263" s="7"/>
      <c r="C263" s="7"/>
      <c r="D263" s="8"/>
      <c r="E263" s="8"/>
      <c r="F263" s="8"/>
      <c r="G263" s="8"/>
      <c r="H263" s="10"/>
    </row>
    <row r="264" spans="1:8" ht="13">
      <c r="A264" s="7"/>
      <c r="B264" s="7"/>
      <c r="C264" s="7"/>
      <c r="D264" s="8"/>
      <c r="E264" s="8"/>
      <c r="F264" s="8"/>
      <c r="G264" s="8"/>
      <c r="H264" s="10"/>
    </row>
    <row r="265" spans="1:8" ht="13">
      <c r="A265" s="7"/>
      <c r="B265" s="7"/>
      <c r="C265" s="7"/>
      <c r="D265" s="8"/>
      <c r="E265" s="8"/>
      <c r="F265" s="8"/>
      <c r="G265" s="8"/>
      <c r="H265" s="10"/>
    </row>
    <row r="266" spans="1:8" ht="13">
      <c r="A266" s="7"/>
      <c r="B266" s="7"/>
      <c r="C266" s="7"/>
      <c r="D266" s="8"/>
      <c r="E266" s="8"/>
      <c r="F266" s="8"/>
      <c r="G266" s="8"/>
      <c r="H266" s="10"/>
    </row>
    <row r="267" spans="1:8" ht="13">
      <c r="A267" s="7"/>
      <c r="B267" s="7"/>
      <c r="C267" s="7"/>
      <c r="D267" s="8"/>
      <c r="E267" s="8"/>
      <c r="F267" s="8"/>
      <c r="G267" s="8"/>
      <c r="H267" s="10"/>
    </row>
    <row r="268" spans="1:8" ht="13">
      <c r="A268" s="7"/>
      <c r="B268" s="7"/>
      <c r="C268" s="7"/>
      <c r="D268" s="8"/>
      <c r="E268" s="8"/>
      <c r="F268" s="8"/>
      <c r="G268" s="8"/>
      <c r="H268" s="10"/>
    </row>
    <row r="269" spans="1:8" ht="13">
      <c r="A269" s="7"/>
      <c r="B269" s="7"/>
      <c r="C269" s="7"/>
      <c r="D269" s="8"/>
      <c r="E269" s="8"/>
      <c r="F269" s="8"/>
      <c r="G269" s="8"/>
      <c r="H269" s="10"/>
    </row>
    <row r="270" spans="1:8" ht="13">
      <c r="A270" s="7"/>
      <c r="B270" s="7"/>
      <c r="C270" s="7"/>
      <c r="D270" s="8"/>
      <c r="E270" s="8"/>
      <c r="F270" s="8"/>
      <c r="G270" s="8"/>
      <c r="H270" s="10"/>
    </row>
    <row r="271" spans="1:8" ht="13">
      <c r="A271" s="7"/>
      <c r="B271" s="7"/>
      <c r="C271" s="7"/>
      <c r="D271" s="8"/>
      <c r="E271" s="8"/>
      <c r="F271" s="8"/>
      <c r="G271" s="8"/>
      <c r="H271" s="10"/>
    </row>
    <row r="272" spans="1:8" ht="13">
      <c r="A272" s="7"/>
      <c r="B272" s="7"/>
      <c r="C272" s="7"/>
      <c r="D272" s="8"/>
      <c r="E272" s="8"/>
      <c r="F272" s="8"/>
      <c r="G272" s="8"/>
      <c r="H272" s="10"/>
    </row>
    <row r="273" spans="1:8" ht="13">
      <c r="A273" s="7"/>
      <c r="B273" s="7"/>
      <c r="C273" s="7"/>
      <c r="D273" s="8"/>
      <c r="E273" s="8"/>
      <c r="F273" s="8"/>
      <c r="G273" s="8"/>
      <c r="H273" s="10"/>
    </row>
    <row r="274" spans="1:8" ht="13">
      <c r="A274" s="7"/>
      <c r="B274" s="7"/>
      <c r="C274" s="7"/>
      <c r="D274" s="8"/>
      <c r="E274" s="8"/>
      <c r="F274" s="8"/>
      <c r="G274" s="8"/>
      <c r="H274" s="10"/>
    </row>
    <row r="275" spans="1:8" ht="13">
      <c r="A275" s="7"/>
      <c r="B275" s="7"/>
      <c r="C275" s="7"/>
      <c r="D275" s="8"/>
      <c r="E275" s="8"/>
      <c r="F275" s="8"/>
      <c r="G275" s="8"/>
      <c r="H275" s="10"/>
    </row>
    <row r="276" spans="1:8" ht="13">
      <c r="A276" s="7"/>
      <c r="B276" s="7"/>
      <c r="C276" s="7"/>
      <c r="D276" s="8"/>
      <c r="E276" s="8"/>
      <c r="F276" s="8"/>
      <c r="G276" s="8"/>
      <c r="H276" s="10"/>
    </row>
    <row r="277" spans="1:8" ht="13">
      <c r="A277" s="7"/>
      <c r="B277" s="7"/>
      <c r="C277" s="7"/>
      <c r="D277" s="8"/>
      <c r="E277" s="8"/>
      <c r="F277" s="8"/>
      <c r="G277" s="8"/>
      <c r="H277" s="10"/>
    </row>
    <row r="278" spans="1:8" ht="13">
      <c r="A278" s="7"/>
      <c r="B278" s="7"/>
      <c r="C278" s="7"/>
      <c r="D278" s="8"/>
      <c r="E278" s="8"/>
      <c r="F278" s="8"/>
      <c r="G278" s="8"/>
      <c r="H278" s="10"/>
    </row>
    <row r="279" spans="1:8" ht="13">
      <c r="A279" s="7"/>
      <c r="B279" s="7"/>
      <c r="C279" s="7"/>
      <c r="D279" s="8"/>
      <c r="E279" s="8"/>
      <c r="F279" s="8"/>
      <c r="G279" s="8"/>
      <c r="H279" s="10"/>
    </row>
    <row r="280" spans="1:8" ht="13">
      <c r="A280" s="7"/>
      <c r="B280" s="7"/>
      <c r="C280" s="7"/>
      <c r="D280" s="8"/>
      <c r="E280" s="8"/>
      <c r="F280" s="8"/>
      <c r="G280" s="8"/>
      <c r="H280" s="10"/>
    </row>
    <row r="281" spans="1:8" ht="13">
      <c r="A281" s="7"/>
      <c r="B281" s="7"/>
      <c r="C281" s="7"/>
      <c r="D281" s="8"/>
      <c r="E281" s="8"/>
      <c r="F281" s="8"/>
      <c r="G281" s="8"/>
      <c r="H281" s="10"/>
    </row>
    <row r="282" spans="1:8" ht="13">
      <c r="A282" s="7"/>
      <c r="B282" s="7"/>
      <c r="C282" s="7"/>
      <c r="D282" s="8"/>
      <c r="E282" s="8"/>
      <c r="F282" s="8"/>
      <c r="G282" s="8"/>
      <c r="H282" s="10"/>
    </row>
    <row r="283" spans="1:8" ht="13">
      <c r="A283" s="7"/>
      <c r="B283" s="7"/>
      <c r="C283" s="7"/>
      <c r="D283" s="8"/>
      <c r="E283" s="8"/>
      <c r="F283" s="8"/>
      <c r="G283" s="8"/>
      <c r="H283" s="10"/>
    </row>
    <row r="284" spans="1:8" ht="13">
      <c r="A284" s="7"/>
      <c r="B284" s="7"/>
      <c r="C284" s="7"/>
      <c r="D284" s="8"/>
      <c r="E284" s="8"/>
      <c r="F284" s="8"/>
      <c r="G284" s="8"/>
      <c r="H284" s="10"/>
    </row>
    <row r="285" spans="1:8" ht="13">
      <c r="A285" s="7"/>
      <c r="B285" s="7"/>
      <c r="C285" s="7"/>
      <c r="D285" s="8"/>
      <c r="E285" s="8"/>
      <c r="F285" s="8"/>
      <c r="G285" s="8"/>
      <c r="H285" s="10"/>
    </row>
    <row r="286" spans="1:8" ht="13">
      <c r="A286" s="7"/>
      <c r="B286" s="7"/>
      <c r="C286" s="7"/>
      <c r="D286" s="8"/>
      <c r="E286" s="8"/>
      <c r="F286" s="8"/>
      <c r="G286" s="8"/>
      <c r="H286" s="10"/>
    </row>
    <row r="287" spans="1:8" ht="13">
      <c r="A287" s="7"/>
      <c r="B287" s="7"/>
      <c r="C287" s="7"/>
      <c r="D287" s="8"/>
      <c r="E287" s="8"/>
      <c r="F287" s="8"/>
      <c r="G287" s="8"/>
      <c r="H287" s="10"/>
    </row>
    <row r="288" spans="1:8" ht="13">
      <c r="A288" s="7"/>
      <c r="B288" s="7"/>
      <c r="C288" s="7"/>
      <c r="D288" s="8"/>
      <c r="E288" s="8"/>
      <c r="F288" s="8"/>
      <c r="G288" s="8"/>
      <c r="H288" s="10"/>
    </row>
    <row r="289" spans="1:8" ht="13">
      <c r="A289" s="7"/>
      <c r="B289" s="7"/>
      <c r="C289" s="7"/>
      <c r="D289" s="8"/>
      <c r="E289" s="8"/>
      <c r="F289" s="8"/>
      <c r="G289" s="8"/>
      <c r="H289" s="10"/>
    </row>
    <row r="290" spans="1:8" ht="13">
      <c r="A290" s="7"/>
      <c r="B290" s="7"/>
      <c r="C290" s="7"/>
      <c r="D290" s="8"/>
      <c r="E290" s="8"/>
      <c r="F290" s="8"/>
      <c r="G290" s="8"/>
      <c r="H290" s="10"/>
    </row>
    <row r="291" spans="1:8" ht="13">
      <c r="A291" s="7"/>
      <c r="B291" s="7"/>
      <c r="C291" s="7"/>
      <c r="D291" s="8"/>
      <c r="E291" s="8"/>
      <c r="F291" s="8"/>
      <c r="G291" s="8"/>
      <c r="H291" s="10"/>
    </row>
    <row r="292" spans="1:8" ht="13">
      <c r="A292" s="7"/>
      <c r="B292" s="7"/>
      <c r="C292" s="7"/>
      <c r="D292" s="8"/>
      <c r="E292" s="8"/>
      <c r="F292" s="8"/>
      <c r="G292" s="8"/>
      <c r="H292" s="10"/>
    </row>
    <row r="293" spans="1:8" ht="13">
      <c r="A293" s="7"/>
      <c r="B293" s="7"/>
      <c r="C293" s="7"/>
      <c r="D293" s="8"/>
      <c r="E293" s="8"/>
      <c r="F293" s="8"/>
      <c r="G293" s="8"/>
      <c r="H293" s="10"/>
    </row>
    <row r="294" spans="1:8" ht="13">
      <c r="A294" s="7"/>
      <c r="B294" s="7"/>
      <c r="C294" s="7"/>
      <c r="D294" s="8"/>
      <c r="E294" s="8"/>
      <c r="F294" s="8"/>
      <c r="G294" s="8"/>
      <c r="H294" s="10"/>
    </row>
    <row r="295" spans="1:8" ht="13">
      <c r="A295" s="7"/>
      <c r="B295" s="7"/>
      <c r="C295" s="7"/>
      <c r="D295" s="8"/>
      <c r="E295" s="8"/>
      <c r="F295" s="8"/>
      <c r="G295" s="8"/>
      <c r="H295" s="10"/>
    </row>
    <row r="296" spans="1:8" ht="13">
      <c r="A296" s="7"/>
      <c r="B296" s="7"/>
      <c r="C296" s="7"/>
      <c r="D296" s="8"/>
      <c r="E296" s="8"/>
      <c r="F296" s="8"/>
      <c r="G296" s="8"/>
      <c r="H296" s="10"/>
    </row>
    <row r="297" spans="1:8" ht="13">
      <c r="A297" s="7"/>
      <c r="B297" s="7"/>
      <c r="C297" s="7"/>
      <c r="D297" s="8"/>
      <c r="E297" s="8"/>
      <c r="F297" s="8"/>
      <c r="G297" s="8"/>
      <c r="H297" s="10"/>
    </row>
    <row r="298" spans="1:8" ht="13">
      <c r="A298" s="7"/>
      <c r="B298" s="7"/>
      <c r="C298" s="7"/>
      <c r="D298" s="8"/>
      <c r="E298" s="8"/>
      <c r="F298" s="8"/>
      <c r="G298" s="8"/>
      <c r="H298" s="10"/>
    </row>
    <row r="299" spans="1:8" ht="13">
      <c r="A299" s="7"/>
      <c r="B299" s="7"/>
      <c r="C299" s="7"/>
      <c r="D299" s="8"/>
      <c r="E299" s="8"/>
      <c r="F299" s="8"/>
      <c r="G299" s="8"/>
      <c r="H299" s="10"/>
    </row>
    <row r="300" spans="1:8" ht="13">
      <c r="A300" s="7"/>
      <c r="B300" s="7"/>
      <c r="C300" s="7"/>
      <c r="D300" s="8"/>
      <c r="E300" s="8"/>
      <c r="F300" s="8"/>
      <c r="G300" s="8"/>
      <c r="H300" s="10"/>
    </row>
    <row r="301" spans="1:8" ht="13">
      <c r="A301" s="7"/>
      <c r="B301" s="7"/>
      <c r="C301" s="7"/>
      <c r="D301" s="8"/>
      <c r="E301" s="8"/>
      <c r="F301" s="8"/>
      <c r="G301" s="8"/>
      <c r="H301" s="10"/>
    </row>
    <row r="302" spans="1:8" ht="13">
      <c r="A302" s="7"/>
      <c r="B302" s="7"/>
      <c r="C302" s="7"/>
      <c r="D302" s="8"/>
      <c r="E302" s="8"/>
      <c r="F302" s="8"/>
      <c r="G302" s="8"/>
      <c r="H302" s="10"/>
    </row>
    <row r="303" spans="1:8" ht="13">
      <c r="A303" s="7"/>
      <c r="B303" s="7"/>
      <c r="C303" s="7"/>
      <c r="D303" s="8"/>
      <c r="E303" s="8"/>
      <c r="F303" s="8"/>
      <c r="G303" s="8"/>
      <c r="H303" s="10"/>
    </row>
    <row r="304" spans="1:8" ht="13">
      <c r="A304" s="7"/>
      <c r="B304" s="7"/>
      <c r="C304" s="7"/>
      <c r="D304" s="8"/>
      <c r="E304" s="8"/>
      <c r="F304" s="8"/>
      <c r="G304" s="8"/>
      <c r="H304" s="10"/>
    </row>
    <row r="305" spans="1:8" ht="13">
      <c r="A305" s="7"/>
      <c r="B305" s="7"/>
      <c r="C305" s="7"/>
      <c r="D305" s="8"/>
      <c r="E305" s="8"/>
      <c r="F305" s="8"/>
      <c r="G305" s="8"/>
      <c r="H305" s="10"/>
    </row>
    <row r="306" spans="1:8" ht="13">
      <c r="A306" s="7"/>
      <c r="B306" s="7"/>
      <c r="C306" s="7"/>
      <c r="D306" s="8"/>
      <c r="E306" s="8"/>
      <c r="F306" s="8"/>
      <c r="G306" s="8"/>
      <c r="H306" s="10"/>
    </row>
    <row r="307" spans="1:8" ht="13">
      <c r="A307" s="7"/>
      <c r="B307" s="7"/>
      <c r="C307" s="7"/>
      <c r="D307" s="8"/>
      <c r="E307" s="8"/>
      <c r="F307" s="8"/>
      <c r="G307" s="8"/>
      <c r="H307" s="10"/>
    </row>
    <row r="308" spans="1:8" ht="13">
      <c r="A308" s="7"/>
      <c r="B308" s="7"/>
      <c r="C308" s="7"/>
      <c r="D308" s="8"/>
      <c r="E308" s="8"/>
      <c r="F308" s="8"/>
      <c r="G308" s="8"/>
      <c r="H308" s="10"/>
    </row>
    <row r="309" spans="1:8" ht="13">
      <c r="A309" s="7"/>
      <c r="B309" s="7"/>
      <c r="C309" s="7"/>
      <c r="D309" s="8"/>
      <c r="E309" s="8"/>
      <c r="F309" s="8"/>
      <c r="G309" s="8"/>
      <c r="H309" s="10"/>
    </row>
    <row r="310" spans="1:8" ht="13">
      <c r="A310" s="7"/>
      <c r="B310" s="7"/>
      <c r="C310" s="7"/>
      <c r="D310" s="8"/>
      <c r="E310" s="8"/>
      <c r="F310" s="8"/>
      <c r="G310" s="8"/>
      <c r="H310" s="10"/>
    </row>
    <row r="311" spans="1:8" ht="13">
      <c r="A311" s="7"/>
      <c r="B311" s="7"/>
      <c r="C311" s="7"/>
      <c r="D311" s="8"/>
      <c r="E311" s="8"/>
      <c r="F311" s="8"/>
      <c r="G311" s="8"/>
      <c r="H311" s="10"/>
    </row>
    <row r="312" spans="1:8" ht="13">
      <c r="A312" s="7"/>
      <c r="B312" s="7"/>
      <c r="C312" s="7"/>
      <c r="D312" s="8"/>
      <c r="E312" s="8"/>
      <c r="F312" s="8"/>
      <c r="G312" s="8"/>
      <c r="H312" s="10"/>
    </row>
    <row r="313" spans="1:8" ht="13">
      <c r="A313" s="7"/>
      <c r="B313" s="7"/>
      <c r="C313" s="7"/>
      <c r="D313" s="8"/>
      <c r="E313" s="8"/>
      <c r="F313" s="8"/>
      <c r="G313" s="8"/>
      <c r="H313" s="10"/>
    </row>
    <row r="314" spans="1:8" ht="13">
      <c r="A314" s="7"/>
      <c r="B314" s="7"/>
      <c r="C314" s="7"/>
      <c r="D314" s="8"/>
      <c r="E314" s="8"/>
      <c r="F314" s="8"/>
      <c r="G314" s="8"/>
      <c r="H314" s="10"/>
    </row>
    <row r="315" spans="1:8" ht="13">
      <c r="A315" s="7"/>
      <c r="B315" s="7"/>
      <c r="C315" s="7"/>
      <c r="D315" s="8"/>
      <c r="E315" s="8"/>
      <c r="F315" s="8"/>
      <c r="G315" s="8"/>
      <c r="H315" s="10"/>
    </row>
    <row r="316" spans="1:8" ht="13">
      <c r="A316" s="7"/>
      <c r="B316" s="7"/>
      <c r="C316" s="7"/>
      <c r="D316" s="8"/>
      <c r="E316" s="8"/>
      <c r="F316" s="8"/>
      <c r="G316" s="8"/>
      <c r="H316" s="10"/>
    </row>
    <row r="317" spans="1:8" ht="13">
      <c r="A317" s="7"/>
      <c r="B317" s="7"/>
      <c r="C317" s="7"/>
      <c r="D317" s="8"/>
      <c r="E317" s="8"/>
      <c r="F317" s="8"/>
      <c r="G317" s="8"/>
      <c r="H317" s="10"/>
    </row>
    <row r="318" spans="1:8" ht="13">
      <c r="A318" s="7"/>
      <c r="B318" s="7"/>
      <c r="C318" s="7"/>
      <c r="D318" s="8"/>
      <c r="E318" s="8"/>
      <c r="F318" s="8"/>
      <c r="G318" s="8"/>
      <c r="H318" s="10"/>
    </row>
    <row r="319" spans="1:8" ht="13">
      <c r="A319" s="7"/>
      <c r="B319" s="7"/>
      <c r="C319" s="7"/>
      <c r="D319" s="8"/>
      <c r="E319" s="8"/>
      <c r="F319" s="8"/>
      <c r="G319" s="8"/>
      <c r="H319" s="10"/>
    </row>
    <row r="320" spans="1:8" ht="13">
      <c r="A320" s="7"/>
      <c r="B320" s="7"/>
      <c r="C320" s="7"/>
      <c r="D320" s="8"/>
      <c r="E320" s="8"/>
      <c r="F320" s="8"/>
      <c r="G320" s="8"/>
      <c r="H320" s="10"/>
    </row>
    <row r="321" spans="1:8" ht="13">
      <c r="A321" s="7"/>
      <c r="B321" s="7"/>
      <c r="C321" s="7"/>
      <c r="D321" s="8"/>
      <c r="E321" s="8"/>
      <c r="F321" s="8"/>
      <c r="G321" s="8"/>
      <c r="H321" s="10"/>
    </row>
    <row r="322" spans="1:8" ht="13">
      <c r="A322" s="7"/>
      <c r="B322" s="7"/>
      <c r="C322" s="7"/>
      <c r="D322" s="8"/>
      <c r="E322" s="8"/>
      <c r="F322" s="8"/>
      <c r="G322" s="8"/>
      <c r="H322" s="10"/>
    </row>
    <row r="323" spans="1:8" ht="13">
      <c r="A323" s="7"/>
      <c r="B323" s="7"/>
      <c r="C323" s="7"/>
      <c r="D323" s="8"/>
      <c r="E323" s="8"/>
      <c r="F323" s="8"/>
      <c r="G323" s="8"/>
      <c r="H323" s="10"/>
    </row>
    <row r="324" spans="1:8" ht="13">
      <c r="A324" s="7"/>
      <c r="B324" s="7"/>
      <c r="C324" s="7"/>
      <c r="D324" s="8"/>
      <c r="E324" s="8"/>
      <c r="F324" s="8"/>
      <c r="G324" s="8"/>
      <c r="H324" s="10"/>
    </row>
    <row r="325" spans="1:8" ht="13">
      <c r="A325" s="7"/>
      <c r="B325" s="7"/>
      <c r="C325" s="7"/>
      <c r="D325" s="8"/>
      <c r="E325" s="8"/>
      <c r="F325" s="8"/>
      <c r="G325" s="8"/>
      <c r="H325" s="10"/>
    </row>
    <row r="326" spans="1:8" ht="13">
      <c r="A326" s="7"/>
      <c r="B326" s="7"/>
      <c r="C326" s="7"/>
      <c r="D326" s="8"/>
      <c r="E326" s="8"/>
      <c r="F326" s="8"/>
      <c r="G326" s="8"/>
      <c r="H326" s="10"/>
    </row>
    <row r="327" spans="1:8" ht="13">
      <c r="A327" s="7"/>
      <c r="B327" s="7"/>
      <c r="C327" s="7"/>
      <c r="D327" s="8"/>
      <c r="E327" s="8"/>
      <c r="F327" s="8"/>
      <c r="G327" s="8"/>
      <c r="H327" s="10"/>
    </row>
    <row r="328" spans="1:8" ht="13">
      <c r="A328" s="7"/>
      <c r="B328" s="7"/>
      <c r="C328" s="7"/>
      <c r="D328" s="8"/>
      <c r="E328" s="8"/>
      <c r="F328" s="8"/>
      <c r="G328" s="8"/>
      <c r="H328" s="10"/>
    </row>
    <row r="329" spans="1:8" ht="13">
      <c r="A329" s="7"/>
      <c r="B329" s="7"/>
      <c r="C329" s="7"/>
      <c r="D329" s="8"/>
      <c r="E329" s="8"/>
      <c r="F329" s="8"/>
      <c r="G329" s="8"/>
      <c r="H329" s="10"/>
    </row>
    <row r="330" spans="1:8" ht="13">
      <c r="A330" s="7"/>
      <c r="B330" s="7"/>
      <c r="C330" s="7"/>
      <c r="D330" s="8"/>
      <c r="E330" s="8"/>
      <c r="F330" s="8"/>
      <c r="G330" s="8"/>
      <c r="H330" s="10"/>
    </row>
    <row r="331" spans="1:8" ht="13">
      <c r="A331" s="7"/>
      <c r="B331" s="7"/>
      <c r="C331" s="7"/>
      <c r="D331" s="8"/>
      <c r="E331" s="8"/>
      <c r="F331" s="8"/>
      <c r="G331" s="8"/>
      <c r="H331" s="10"/>
    </row>
    <row r="332" spans="1:8" ht="13">
      <c r="A332" s="7"/>
      <c r="B332" s="7"/>
      <c r="C332" s="7"/>
      <c r="D332" s="8"/>
      <c r="E332" s="8"/>
      <c r="F332" s="8"/>
      <c r="G332" s="8"/>
      <c r="H332" s="10"/>
    </row>
    <row r="333" spans="1:8" ht="13">
      <c r="A333" s="7"/>
      <c r="B333" s="7"/>
      <c r="C333" s="7"/>
      <c r="D333" s="8"/>
      <c r="E333" s="8"/>
      <c r="F333" s="8"/>
      <c r="G333" s="8"/>
      <c r="H333" s="10"/>
    </row>
    <row r="334" spans="1:8" ht="13">
      <c r="A334" s="7"/>
      <c r="B334" s="7"/>
      <c r="C334" s="7"/>
      <c r="D334" s="8"/>
      <c r="E334" s="8"/>
      <c r="F334" s="8"/>
      <c r="G334" s="8"/>
      <c r="H334" s="10"/>
    </row>
    <row r="335" spans="1:8" ht="13">
      <c r="A335" s="7"/>
      <c r="B335" s="7"/>
      <c r="C335" s="7"/>
      <c r="D335" s="8"/>
      <c r="E335" s="8"/>
      <c r="F335" s="8"/>
      <c r="G335" s="8"/>
      <c r="H335" s="10"/>
    </row>
    <row r="336" spans="1:8" ht="13">
      <c r="A336" s="7"/>
      <c r="B336" s="7"/>
      <c r="C336" s="7"/>
      <c r="D336" s="8"/>
      <c r="E336" s="8"/>
      <c r="F336" s="8"/>
      <c r="G336" s="8"/>
      <c r="H336" s="10"/>
    </row>
    <row r="337" spans="1:8" ht="13">
      <c r="A337" s="7"/>
      <c r="B337" s="7"/>
      <c r="C337" s="7"/>
      <c r="D337" s="8"/>
      <c r="E337" s="8"/>
      <c r="F337" s="8"/>
      <c r="G337" s="8"/>
      <c r="H337" s="10"/>
    </row>
    <row r="338" spans="1:8" ht="13">
      <c r="A338" s="7"/>
      <c r="B338" s="7"/>
      <c r="C338" s="7"/>
      <c r="D338" s="8"/>
      <c r="E338" s="8"/>
      <c r="F338" s="8"/>
      <c r="G338" s="8"/>
      <c r="H338" s="10"/>
    </row>
    <row r="339" spans="1:8" ht="13">
      <c r="A339" s="7"/>
      <c r="B339" s="7"/>
      <c r="C339" s="7"/>
      <c r="D339" s="8"/>
      <c r="E339" s="8"/>
      <c r="F339" s="8"/>
      <c r="G339" s="8"/>
      <c r="H339" s="10"/>
    </row>
    <row r="340" spans="1:8" ht="13">
      <c r="A340" s="7"/>
      <c r="B340" s="7"/>
      <c r="C340" s="7"/>
      <c r="D340" s="8"/>
      <c r="E340" s="8"/>
      <c r="F340" s="8"/>
      <c r="G340" s="8"/>
      <c r="H340" s="10"/>
    </row>
    <row r="341" spans="1:8" ht="13">
      <c r="A341" s="7"/>
      <c r="B341" s="7"/>
      <c r="C341" s="7"/>
      <c r="D341" s="8"/>
      <c r="E341" s="8"/>
      <c r="F341" s="8"/>
      <c r="G341" s="8"/>
      <c r="H341" s="10"/>
    </row>
    <row r="342" spans="1:8" ht="13">
      <c r="A342" s="7"/>
      <c r="B342" s="7"/>
      <c r="C342" s="7"/>
      <c r="D342" s="8"/>
      <c r="E342" s="8"/>
      <c r="F342" s="8"/>
      <c r="G342" s="8"/>
      <c r="H342" s="10"/>
    </row>
    <row r="343" spans="1:8" ht="13">
      <c r="A343" s="7"/>
      <c r="B343" s="7"/>
      <c r="C343" s="7"/>
      <c r="D343" s="8"/>
      <c r="E343" s="8"/>
      <c r="F343" s="8"/>
      <c r="G343" s="8"/>
      <c r="H343" s="10"/>
    </row>
    <row r="344" spans="1:8" ht="13">
      <c r="A344" s="7"/>
      <c r="B344" s="7"/>
      <c r="C344" s="7"/>
      <c r="D344" s="8"/>
      <c r="E344" s="8"/>
      <c r="F344" s="8"/>
      <c r="G344" s="8"/>
      <c r="H344" s="10"/>
    </row>
    <row r="345" spans="1:8" ht="13">
      <c r="A345" s="7"/>
      <c r="B345" s="7"/>
      <c r="C345" s="7"/>
      <c r="D345" s="8"/>
      <c r="E345" s="8"/>
      <c r="F345" s="8"/>
      <c r="G345" s="8"/>
      <c r="H345" s="10"/>
    </row>
    <row r="346" spans="1:8" ht="13">
      <c r="A346" s="7"/>
      <c r="B346" s="7"/>
      <c r="C346" s="7"/>
      <c r="D346" s="8"/>
      <c r="E346" s="8"/>
      <c r="F346" s="8"/>
      <c r="G346" s="8"/>
      <c r="H346" s="10"/>
    </row>
    <row r="347" spans="1:8" ht="13">
      <c r="A347" s="7"/>
      <c r="B347" s="7"/>
      <c r="C347" s="7"/>
      <c r="D347" s="8"/>
      <c r="E347" s="8"/>
      <c r="F347" s="8"/>
      <c r="G347" s="8"/>
      <c r="H347" s="10"/>
    </row>
    <row r="348" spans="1:8" ht="13">
      <c r="A348" s="7"/>
      <c r="B348" s="7"/>
      <c r="C348" s="7"/>
      <c r="D348" s="8"/>
      <c r="E348" s="8"/>
      <c r="F348" s="8"/>
      <c r="G348" s="8"/>
      <c r="H348" s="10"/>
    </row>
    <row r="349" spans="1:8" ht="13">
      <c r="A349" s="7"/>
      <c r="B349" s="7"/>
      <c r="C349" s="7"/>
      <c r="D349" s="8"/>
      <c r="E349" s="8"/>
      <c r="F349" s="8"/>
      <c r="G349" s="8"/>
      <c r="H349" s="10"/>
    </row>
    <row r="350" spans="1:8" ht="13">
      <c r="A350" s="7"/>
      <c r="B350" s="7"/>
      <c r="C350" s="7"/>
      <c r="D350" s="8"/>
      <c r="E350" s="8"/>
      <c r="F350" s="8"/>
      <c r="G350" s="8"/>
      <c r="H350" s="10"/>
    </row>
    <row r="351" spans="1:8" ht="13">
      <c r="A351" s="7"/>
      <c r="B351" s="7"/>
      <c r="C351" s="7"/>
      <c r="D351" s="8"/>
      <c r="E351" s="8"/>
      <c r="F351" s="8"/>
      <c r="G351" s="8"/>
      <c r="H351" s="10"/>
    </row>
    <row r="352" spans="1:8" ht="13">
      <c r="A352" s="7"/>
      <c r="B352" s="7"/>
      <c r="C352" s="7"/>
      <c r="D352" s="8"/>
      <c r="E352" s="8"/>
      <c r="F352" s="8"/>
      <c r="G352" s="8"/>
      <c r="H352" s="10"/>
    </row>
    <row r="353" spans="1:8" ht="13">
      <c r="A353" s="7"/>
      <c r="B353" s="7"/>
      <c r="C353" s="7"/>
      <c r="D353" s="8"/>
      <c r="E353" s="8"/>
      <c r="F353" s="8"/>
      <c r="G353" s="8"/>
      <c r="H353" s="10"/>
    </row>
    <row r="354" spans="1:8" ht="13">
      <c r="A354" s="7"/>
      <c r="B354" s="7"/>
      <c r="C354" s="7"/>
      <c r="D354" s="8"/>
      <c r="E354" s="8"/>
      <c r="F354" s="8"/>
      <c r="G354" s="8"/>
      <c r="H354" s="10"/>
    </row>
    <row r="355" spans="1:8" ht="13">
      <c r="A355" s="7"/>
      <c r="B355" s="7"/>
      <c r="C355" s="7"/>
      <c r="D355" s="8"/>
      <c r="E355" s="8"/>
      <c r="F355" s="8"/>
      <c r="G355" s="8"/>
      <c r="H355" s="10"/>
    </row>
    <row r="356" spans="1:8" ht="13">
      <c r="A356" s="7"/>
      <c r="B356" s="7"/>
      <c r="C356" s="7"/>
      <c r="D356" s="8"/>
      <c r="E356" s="8"/>
      <c r="F356" s="8"/>
      <c r="G356" s="8"/>
      <c r="H356" s="10"/>
    </row>
    <row r="357" spans="1:8" ht="13">
      <c r="A357" s="7"/>
      <c r="B357" s="7"/>
      <c r="C357" s="7"/>
      <c r="D357" s="8"/>
      <c r="E357" s="8"/>
      <c r="F357" s="8"/>
      <c r="G357" s="8"/>
      <c r="H357" s="10"/>
    </row>
    <row r="358" spans="1:8" ht="13">
      <c r="A358" s="7"/>
      <c r="B358" s="7"/>
      <c r="C358" s="7"/>
      <c r="D358" s="8"/>
      <c r="E358" s="8"/>
      <c r="F358" s="8"/>
      <c r="G358" s="8"/>
      <c r="H358" s="10"/>
    </row>
    <row r="359" spans="1:8" ht="13">
      <c r="A359" s="7"/>
      <c r="B359" s="7"/>
      <c r="C359" s="7"/>
      <c r="D359" s="8"/>
      <c r="E359" s="8"/>
      <c r="F359" s="8"/>
      <c r="G359" s="8"/>
      <c r="H359" s="10"/>
    </row>
    <row r="360" spans="1:8" ht="13">
      <c r="A360" s="7"/>
      <c r="B360" s="7"/>
      <c r="C360" s="7"/>
      <c r="D360" s="8"/>
      <c r="E360" s="8"/>
      <c r="F360" s="8"/>
      <c r="G360" s="8"/>
      <c r="H360" s="10"/>
    </row>
    <row r="361" spans="1:8" ht="13">
      <c r="A361" s="7"/>
      <c r="B361" s="7"/>
      <c r="C361" s="7"/>
      <c r="D361" s="8"/>
      <c r="E361" s="8"/>
      <c r="F361" s="8"/>
      <c r="G361" s="8"/>
      <c r="H361" s="10"/>
    </row>
    <row r="362" spans="1:8" ht="13">
      <c r="A362" s="7"/>
      <c r="B362" s="7"/>
      <c r="C362" s="7"/>
      <c r="D362" s="8"/>
      <c r="E362" s="8"/>
      <c r="F362" s="8"/>
      <c r="G362" s="8"/>
      <c r="H362" s="10"/>
    </row>
    <row r="363" spans="1:8" ht="13">
      <c r="A363" s="7"/>
      <c r="B363" s="7"/>
      <c r="C363" s="7"/>
      <c r="D363" s="8"/>
      <c r="E363" s="8"/>
      <c r="F363" s="8"/>
      <c r="G363" s="8"/>
      <c r="H363" s="10"/>
    </row>
    <row r="364" spans="1:8" ht="13">
      <c r="A364" s="7"/>
      <c r="B364" s="7"/>
      <c r="C364" s="7"/>
      <c r="D364" s="8"/>
      <c r="E364" s="8"/>
      <c r="F364" s="8"/>
      <c r="G364" s="8"/>
      <c r="H364" s="10"/>
    </row>
    <row r="365" spans="1:8" ht="13">
      <c r="A365" s="7"/>
      <c r="B365" s="7"/>
      <c r="C365" s="7"/>
      <c r="D365" s="8"/>
      <c r="E365" s="8"/>
      <c r="F365" s="8"/>
      <c r="G365" s="8"/>
      <c r="H365" s="10"/>
    </row>
    <row r="366" spans="1:8" ht="13">
      <c r="A366" s="7"/>
      <c r="B366" s="7"/>
      <c r="C366" s="7"/>
      <c r="D366" s="8"/>
      <c r="E366" s="8"/>
      <c r="F366" s="8"/>
      <c r="G366" s="8"/>
      <c r="H366" s="10"/>
    </row>
    <row r="367" spans="1:8" ht="13">
      <c r="A367" s="7"/>
      <c r="B367" s="7"/>
      <c r="C367" s="7"/>
      <c r="D367" s="8"/>
      <c r="E367" s="8"/>
      <c r="F367" s="8"/>
      <c r="G367" s="8"/>
      <c r="H367" s="10"/>
    </row>
    <row r="368" spans="1:8" ht="13">
      <c r="A368" s="7"/>
      <c r="B368" s="7"/>
      <c r="C368" s="7"/>
      <c r="D368" s="8"/>
      <c r="E368" s="8"/>
      <c r="F368" s="8"/>
      <c r="G368" s="8"/>
      <c r="H368" s="10"/>
    </row>
    <row r="369" spans="1:8" ht="13">
      <c r="A369" s="7"/>
      <c r="B369" s="7"/>
      <c r="C369" s="7"/>
      <c r="D369" s="8"/>
      <c r="E369" s="8"/>
      <c r="F369" s="8"/>
      <c r="G369" s="8"/>
      <c r="H369" s="10"/>
    </row>
    <row r="370" spans="1:8" ht="13">
      <c r="A370" s="7"/>
      <c r="B370" s="7"/>
      <c r="C370" s="7"/>
      <c r="D370" s="8"/>
      <c r="E370" s="8"/>
      <c r="F370" s="8"/>
      <c r="G370" s="8"/>
      <c r="H370" s="10"/>
    </row>
    <row r="371" spans="1:8" ht="13">
      <c r="A371" s="7"/>
      <c r="B371" s="7"/>
      <c r="C371" s="7"/>
      <c r="D371" s="8"/>
      <c r="E371" s="8"/>
      <c r="F371" s="8"/>
      <c r="G371" s="8"/>
      <c r="H371" s="10"/>
    </row>
    <row r="372" spans="1:8" ht="13">
      <c r="A372" s="7"/>
      <c r="B372" s="7"/>
      <c r="C372" s="7"/>
      <c r="D372" s="8"/>
      <c r="E372" s="8"/>
      <c r="F372" s="8"/>
      <c r="G372" s="8"/>
      <c r="H372" s="10"/>
    </row>
    <row r="373" spans="1:8" ht="13">
      <c r="A373" s="7"/>
      <c r="B373" s="7"/>
      <c r="C373" s="7"/>
      <c r="D373" s="8"/>
      <c r="E373" s="8"/>
      <c r="F373" s="8"/>
      <c r="G373" s="8"/>
      <c r="H373" s="10"/>
    </row>
    <row r="374" spans="1:8" ht="13">
      <c r="A374" s="7"/>
      <c r="B374" s="7"/>
      <c r="C374" s="7"/>
      <c r="D374" s="8"/>
      <c r="E374" s="8"/>
      <c r="F374" s="8"/>
      <c r="G374" s="8"/>
      <c r="H374" s="10"/>
    </row>
    <row r="375" spans="1:8" ht="13">
      <c r="A375" s="7"/>
      <c r="B375" s="7"/>
      <c r="C375" s="7"/>
      <c r="D375" s="8"/>
      <c r="E375" s="8"/>
      <c r="F375" s="8"/>
      <c r="G375" s="8"/>
      <c r="H375" s="10"/>
    </row>
    <row r="376" spans="1:8" ht="13">
      <c r="A376" s="7"/>
      <c r="B376" s="7"/>
      <c r="C376" s="7"/>
      <c r="D376" s="8"/>
      <c r="E376" s="8"/>
      <c r="F376" s="8"/>
      <c r="G376" s="8"/>
      <c r="H376" s="10"/>
    </row>
    <row r="377" spans="1:8" ht="13">
      <c r="A377" s="7"/>
      <c r="B377" s="7"/>
      <c r="C377" s="7"/>
      <c r="D377" s="8"/>
      <c r="E377" s="8"/>
      <c r="F377" s="8"/>
      <c r="G377" s="8"/>
      <c r="H377" s="10"/>
    </row>
    <row r="378" spans="1:8" ht="13">
      <c r="A378" s="7"/>
      <c r="B378" s="7"/>
      <c r="C378" s="7"/>
      <c r="D378" s="8"/>
      <c r="E378" s="8"/>
      <c r="F378" s="8"/>
      <c r="G378" s="8"/>
      <c r="H378" s="10"/>
    </row>
    <row r="379" spans="1:8" ht="13">
      <c r="A379" s="7"/>
      <c r="B379" s="7"/>
      <c r="C379" s="7"/>
      <c r="D379" s="8"/>
      <c r="E379" s="8"/>
      <c r="F379" s="8"/>
      <c r="G379" s="8"/>
      <c r="H379" s="10"/>
    </row>
    <row r="380" spans="1:8" ht="13">
      <c r="A380" s="7"/>
      <c r="B380" s="7"/>
      <c r="C380" s="7"/>
      <c r="D380" s="8"/>
      <c r="E380" s="8"/>
      <c r="F380" s="8"/>
      <c r="G380" s="8"/>
      <c r="H380" s="10"/>
    </row>
    <row r="381" spans="1:8" ht="13">
      <c r="A381" s="7"/>
      <c r="B381" s="7"/>
      <c r="C381" s="7"/>
      <c r="D381" s="8"/>
      <c r="E381" s="8"/>
      <c r="F381" s="8"/>
      <c r="G381" s="8"/>
      <c r="H381" s="10"/>
    </row>
    <row r="382" spans="1:8" ht="13">
      <c r="A382" s="7"/>
      <c r="B382" s="7"/>
      <c r="C382" s="7"/>
      <c r="D382" s="8"/>
      <c r="E382" s="8"/>
      <c r="F382" s="8"/>
      <c r="G382" s="8"/>
      <c r="H382" s="10"/>
    </row>
    <row r="383" spans="1:8" ht="13">
      <c r="A383" s="7"/>
      <c r="B383" s="7"/>
      <c r="C383" s="7"/>
      <c r="D383" s="8"/>
      <c r="E383" s="8"/>
      <c r="F383" s="8"/>
      <c r="G383" s="8"/>
      <c r="H383" s="10"/>
    </row>
    <row r="384" spans="1:8" ht="13">
      <c r="A384" s="7"/>
      <c r="B384" s="7"/>
      <c r="C384" s="7"/>
      <c r="D384" s="8"/>
      <c r="E384" s="8"/>
      <c r="F384" s="8"/>
      <c r="G384" s="8"/>
      <c r="H384" s="10"/>
    </row>
    <row r="385" spans="1:8" ht="13">
      <c r="A385" s="7"/>
      <c r="B385" s="7"/>
      <c r="C385" s="7"/>
      <c r="D385" s="8"/>
      <c r="E385" s="8"/>
      <c r="F385" s="8"/>
      <c r="G385" s="8"/>
      <c r="H385" s="10"/>
    </row>
    <row r="386" spans="1:8" ht="13">
      <c r="A386" s="7"/>
      <c r="B386" s="7"/>
      <c r="C386" s="7"/>
      <c r="D386" s="8"/>
      <c r="E386" s="8"/>
      <c r="F386" s="8"/>
      <c r="G386" s="8"/>
      <c r="H386" s="10"/>
    </row>
    <row r="387" spans="1:8" ht="13">
      <c r="A387" s="7"/>
      <c r="B387" s="7"/>
      <c r="C387" s="7"/>
      <c r="D387" s="8"/>
      <c r="E387" s="8"/>
      <c r="F387" s="8"/>
      <c r="G387" s="8"/>
      <c r="H387" s="10"/>
    </row>
    <row r="388" spans="1:8" ht="13">
      <c r="A388" s="7"/>
      <c r="B388" s="7"/>
      <c r="C388" s="7"/>
      <c r="D388" s="8"/>
      <c r="E388" s="8"/>
      <c r="F388" s="8"/>
      <c r="G388" s="8"/>
      <c r="H388" s="10"/>
    </row>
    <row r="389" spans="1:8" ht="13">
      <c r="A389" s="7"/>
      <c r="B389" s="7"/>
      <c r="C389" s="7"/>
      <c r="D389" s="8"/>
      <c r="E389" s="8"/>
      <c r="F389" s="8"/>
      <c r="G389" s="8"/>
      <c r="H389" s="10"/>
    </row>
    <row r="390" spans="1:8" ht="13">
      <c r="A390" s="7"/>
      <c r="B390" s="7"/>
      <c r="C390" s="7"/>
      <c r="D390" s="8"/>
      <c r="E390" s="8"/>
      <c r="F390" s="8"/>
      <c r="G390" s="8"/>
      <c r="H390" s="10"/>
    </row>
    <row r="391" spans="1:8" ht="13">
      <c r="A391" s="7"/>
      <c r="B391" s="7"/>
      <c r="C391" s="7"/>
      <c r="D391" s="8"/>
      <c r="E391" s="8"/>
      <c r="F391" s="8"/>
      <c r="G391" s="8"/>
      <c r="H391" s="10"/>
    </row>
    <row r="392" spans="1:8" ht="13">
      <c r="A392" s="7"/>
      <c r="B392" s="7"/>
      <c r="C392" s="7"/>
      <c r="D392" s="8"/>
      <c r="E392" s="8"/>
      <c r="F392" s="8"/>
      <c r="G392" s="8"/>
      <c r="H392" s="10"/>
    </row>
    <row r="393" spans="1:8" ht="13">
      <c r="A393" s="7"/>
      <c r="B393" s="7"/>
      <c r="C393" s="7"/>
      <c r="D393" s="8"/>
      <c r="E393" s="8"/>
      <c r="F393" s="8"/>
      <c r="G393" s="8"/>
      <c r="H393" s="10"/>
    </row>
    <row r="394" spans="1:8" ht="13">
      <c r="A394" s="7"/>
      <c r="B394" s="7"/>
      <c r="C394" s="7"/>
      <c r="D394" s="8"/>
      <c r="E394" s="8"/>
      <c r="F394" s="8"/>
      <c r="G394" s="8"/>
      <c r="H394" s="10"/>
    </row>
    <row r="395" spans="1:8" ht="13">
      <c r="A395" s="7"/>
      <c r="B395" s="7"/>
      <c r="C395" s="7"/>
      <c r="D395" s="8"/>
      <c r="E395" s="8"/>
      <c r="F395" s="8"/>
      <c r="G395" s="8"/>
      <c r="H395" s="10"/>
    </row>
    <row r="396" spans="1:8" ht="13">
      <c r="A396" s="7"/>
      <c r="B396" s="7"/>
      <c r="C396" s="7"/>
      <c r="D396" s="8"/>
      <c r="E396" s="8"/>
      <c r="F396" s="8"/>
      <c r="G396" s="8"/>
      <c r="H396" s="10"/>
    </row>
    <row r="397" spans="1:8" ht="13">
      <c r="A397" s="7"/>
      <c r="B397" s="7"/>
      <c r="C397" s="7"/>
      <c r="D397" s="8"/>
      <c r="E397" s="8"/>
      <c r="F397" s="8"/>
      <c r="G397" s="8"/>
      <c r="H397" s="10"/>
    </row>
    <row r="398" spans="1:8" ht="13">
      <c r="A398" s="7"/>
      <c r="B398" s="7"/>
      <c r="C398" s="7"/>
      <c r="D398" s="8"/>
      <c r="E398" s="8"/>
      <c r="F398" s="8"/>
      <c r="G398" s="8"/>
      <c r="H398" s="10"/>
    </row>
    <row r="399" spans="1:8" ht="13">
      <c r="A399" s="7"/>
      <c r="B399" s="7"/>
      <c r="C399" s="7"/>
      <c r="D399" s="8"/>
      <c r="E399" s="8"/>
      <c r="F399" s="8"/>
      <c r="G399" s="8"/>
      <c r="H399" s="10"/>
    </row>
    <row r="400" spans="1:8" ht="13">
      <c r="A400" s="7"/>
      <c r="B400" s="7"/>
      <c r="C400" s="7"/>
      <c r="D400" s="8"/>
      <c r="E400" s="8"/>
      <c r="F400" s="8"/>
      <c r="G400" s="8"/>
      <c r="H400" s="10"/>
    </row>
    <row r="401" spans="1:8" ht="13">
      <c r="A401" s="7"/>
      <c r="B401" s="7"/>
      <c r="C401" s="7"/>
      <c r="D401" s="8"/>
      <c r="E401" s="8"/>
      <c r="F401" s="8"/>
      <c r="G401" s="8"/>
      <c r="H401" s="10"/>
    </row>
    <row r="402" spans="1:8" ht="13">
      <c r="A402" s="7"/>
      <c r="B402" s="7"/>
      <c r="C402" s="7"/>
      <c r="D402" s="8"/>
      <c r="E402" s="8"/>
      <c r="F402" s="8"/>
      <c r="G402" s="8"/>
      <c r="H402" s="10"/>
    </row>
    <row r="403" spans="1:8" ht="13">
      <c r="A403" s="7"/>
      <c r="B403" s="7"/>
      <c r="C403" s="7"/>
      <c r="D403" s="8"/>
      <c r="E403" s="8"/>
      <c r="F403" s="8"/>
      <c r="G403" s="8"/>
      <c r="H403" s="10"/>
    </row>
    <row r="404" spans="1:8" ht="13">
      <c r="A404" s="7"/>
      <c r="B404" s="7"/>
      <c r="C404" s="7"/>
      <c r="D404" s="8"/>
      <c r="E404" s="8"/>
      <c r="F404" s="8"/>
      <c r="G404" s="8"/>
      <c r="H404" s="10"/>
    </row>
    <row r="405" spans="1:8" ht="13">
      <c r="A405" s="7"/>
      <c r="B405" s="7"/>
      <c r="C405" s="7"/>
      <c r="D405" s="8"/>
      <c r="E405" s="8"/>
      <c r="F405" s="8"/>
      <c r="G405" s="8"/>
      <c r="H405" s="10"/>
    </row>
    <row r="406" spans="1:8" ht="13">
      <c r="A406" s="7"/>
      <c r="B406" s="7"/>
      <c r="C406" s="7"/>
      <c r="D406" s="8"/>
      <c r="E406" s="8"/>
      <c r="F406" s="8"/>
      <c r="G406" s="8"/>
      <c r="H406" s="10"/>
    </row>
    <row r="407" spans="1:8" ht="13">
      <c r="A407" s="7"/>
      <c r="B407" s="7"/>
      <c r="C407" s="7"/>
      <c r="D407" s="8"/>
      <c r="E407" s="8"/>
      <c r="F407" s="8"/>
      <c r="G407" s="8"/>
      <c r="H407" s="10"/>
    </row>
    <row r="408" spans="1:8" ht="13">
      <c r="A408" s="7"/>
      <c r="B408" s="7"/>
      <c r="C408" s="7"/>
      <c r="D408" s="8"/>
      <c r="E408" s="8"/>
      <c r="F408" s="8"/>
      <c r="G408" s="8"/>
      <c r="H408" s="10"/>
    </row>
    <row r="409" spans="1:8" ht="13">
      <c r="A409" s="7"/>
      <c r="B409" s="7"/>
      <c r="C409" s="7"/>
      <c r="D409" s="8"/>
      <c r="E409" s="8"/>
      <c r="F409" s="8"/>
      <c r="G409" s="8"/>
      <c r="H409" s="10"/>
    </row>
    <row r="410" spans="1:8" ht="13">
      <c r="A410" s="7"/>
      <c r="B410" s="7"/>
      <c r="C410" s="7"/>
      <c r="D410" s="8"/>
      <c r="E410" s="8"/>
      <c r="F410" s="8"/>
      <c r="G410" s="8"/>
      <c r="H410" s="10"/>
    </row>
    <row r="411" spans="1:8" ht="13">
      <c r="A411" s="7"/>
      <c r="B411" s="7"/>
      <c r="C411" s="7"/>
      <c r="D411" s="8"/>
      <c r="E411" s="8"/>
      <c r="F411" s="8"/>
      <c r="G411" s="8"/>
      <c r="H411" s="10"/>
    </row>
    <row r="412" spans="1:8" ht="13">
      <c r="A412" s="7"/>
      <c r="B412" s="7"/>
      <c r="C412" s="7"/>
      <c r="D412" s="8"/>
      <c r="E412" s="8"/>
      <c r="F412" s="8"/>
      <c r="G412" s="8"/>
      <c r="H412" s="10"/>
    </row>
    <row r="413" spans="1:8" ht="13">
      <c r="A413" s="7"/>
      <c r="B413" s="7"/>
      <c r="C413" s="7"/>
      <c r="D413" s="8"/>
      <c r="E413" s="8"/>
      <c r="F413" s="8"/>
      <c r="G413" s="8"/>
      <c r="H413" s="10"/>
    </row>
    <row r="414" spans="1:8" ht="13">
      <c r="A414" s="7"/>
      <c r="B414" s="7"/>
      <c r="C414" s="7"/>
      <c r="D414" s="8"/>
      <c r="E414" s="8"/>
      <c r="F414" s="8"/>
      <c r="G414" s="8"/>
      <c r="H414" s="10"/>
    </row>
    <row r="415" spans="1:8" ht="13">
      <c r="A415" s="7"/>
      <c r="B415" s="7"/>
      <c r="C415" s="7"/>
      <c r="D415" s="8"/>
      <c r="E415" s="8"/>
      <c r="F415" s="8"/>
      <c r="G415" s="8"/>
      <c r="H415" s="10"/>
    </row>
    <row r="416" spans="1:8" ht="13">
      <c r="A416" s="7"/>
      <c r="B416" s="7"/>
      <c r="C416" s="7"/>
      <c r="D416" s="8"/>
      <c r="E416" s="8"/>
      <c r="F416" s="8"/>
      <c r="G416" s="8"/>
      <c r="H416" s="10"/>
    </row>
    <row r="417" spans="1:8" ht="13">
      <c r="A417" s="7"/>
      <c r="B417" s="7"/>
      <c r="C417" s="7"/>
      <c r="D417" s="8"/>
      <c r="E417" s="8"/>
      <c r="F417" s="8"/>
      <c r="G417" s="8"/>
      <c r="H417" s="10"/>
    </row>
    <row r="418" spans="1:8" ht="13">
      <c r="A418" s="7"/>
      <c r="B418" s="7"/>
      <c r="C418" s="7"/>
      <c r="D418" s="8"/>
      <c r="E418" s="8"/>
      <c r="F418" s="8"/>
      <c r="G418" s="8"/>
      <c r="H418" s="10"/>
    </row>
    <row r="419" spans="1:8" ht="13">
      <c r="A419" s="7"/>
      <c r="B419" s="7"/>
      <c r="C419" s="7"/>
      <c r="D419" s="8"/>
      <c r="E419" s="8"/>
      <c r="F419" s="8"/>
      <c r="G419" s="8"/>
      <c r="H419" s="10"/>
    </row>
    <row r="420" spans="1:8" ht="13">
      <c r="A420" s="7"/>
      <c r="B420" s="7"/>
      <c r="C420" s="7"/>
      <c r="D420" s="8"/>
      <c r="E420" s="8"/>
      <c r="F420" s="8"/>
      <c r="G420" s="8"/>
      <c r="H420" s="10"/>
    </row>
    <row r="421" spans="1:8" ht="13">
      <c r="A421" s="7"/>
      <c r="B421" s="7"/>
      <c r="C421" s="7"/>
      <c r="D421" s="8"/>
      <c r="E421" s="8"/>
      <c r="F421" s="8"/>
      <c r="G421" s="8"/>
      <c r="H421" s="10"/>
    </row>
    <row r="422" spans="1:8" ht="13">
      <c r="A422" s="7"/>
      <c r="B422" s="7"/>
      <c r="C422" s="7"/>
      <c r="D422" s="8"/>
      <c r="E422" s="8"/>
      <c r="F422" s="8"/>
      <c r="G422" s="8"/>
      <c r="H422" s="10"/>
    </row>
    <row r="423" spans="1:8" ht="13">
      <c r="A423" s="7"/>
      <c r="B423" s="7"/>
      <c r="C423" s="7"/>
      <c r="D423" s="8"/>
      <c r="E423" s="8"/>
      <c r="F423" s="8"/>
      <c r="G423" s="8"/>
      <c r="H423" s="10"/>
    </row>
    <row r="424" spans="1:8" ht="13">
      <c r="A424" s="7"/>
      <c r="B424" s="7"/>
      <c r="C424" s="7"/>
      <c r="D424" s="8"/>
      <c r="E424" s="8"/>
      <c r="F424" s="8"/>
      <c r="G424" s="8"/>
      <c r="H424" s="10"/>
    </row>
    <row r="425" spans="1:8" ht="13">
      <c r="A425" s="7"/>
      <c r="B425" s="7"/>
      <c r="C425" s="7"/>
      <c r="D425" s="8"/>
      <c r="E425" s="8"/>
      <c r="F425" s="8"/>
      <c r="G425" s="8"/>
      <c r="H425" s="10"/>
    </row>
    <row r="426" spans="1:8" ht="13">
      <c r="A426" s="7"/>
      <c r="B426" s="7"/>
      <c r="C426" s="7"/>
      <c r="D426" s="8"/>
      <c r="E426" s="8"/>
      <c r="F426" s="8"/>
      <c r="G426" s="8"/>
      <c r="H426" s="10"/>
    </row>
    <row r="427" spans="1:8" ht="13">
      <c r="A427" s="7"/>
      <c r="B427" s="7"/>
      <c r="C427" s="7"/>
      <c r="D427" s="8"/>
      <c r="E427" s="8"/>
      <c r="F427" s="8"/>
      <c r="G427" s="8"/>
      <c r="H427" s="10"/>
    </row>
    <row r="428" spans="1:8" ht="13">
      <c r="A428" s="7"/>
      <c r="B428" s="7"/>
      <c r="C428" s="7"/>
      <c r="D428" s="8"/>
      <c r="E428" s="8"/>
      <c r="F428" s="8"/>
      <c r="G428" s="8"/>
      <c r="H428" s="10"/>
    </row>
    <row r="429" spans="1:8" ht="13">
      <c r="A429" s="7"/>
      <c r="B429" s="7"/>
      <c r="C429" s="7"/>
      <c r="D429" s="8"/>
      <c r="E429" s="8"/>
      <c r="F429" s="8"/>
      <c r="G429" s="8"/>
      <c r="H429" s="10"/>
    </row>
    <row r="430" spans="1:8" ht="13">
      <c r="A430" s="7"/>
      <c r="B430" s="7"/>
      <c r="C430" s="7"/>
      <c r="D430" s="8"/>
      <c r="E430" s="8"/>
      <c r="F430" s="8"/>
      <c r="G430" s="8"/>
      <c r="H430" s="10"/>
    </row>
    <row r="431" spans="1:8" ht="13">
      <c r="A431" s="7"/>
      <c r="B431" s="7"/>
      <c r="C431" s="7"/>
      <c r="D431" s="8"/>
      <c r="E431" s="8"/>
      <c r="F431" s="8"/>
      <c r="G431" s="8"/>
      <c r="H431" s="10"/>
    </row>
    <row r="432" spans="1:8" ht="13">
      <c r="A432" s="7"/>
      <c r="B432" s="7"/>
      <c r="C432" s="7"/>
      <c r="D432" s="8"/>
      <c r="E432" s="8"/>
      <c r="F432" s="8"/>
      <c r="G432" s="8"/>
      <c r="H432" s="10"/>
    </row>
    <row r="433" spans="1:8" ht="13">
      <c r="A433" s="7"/>
      <c r="B433" s="7"/>
      <c r="C433" s="7"/>
      <c r="D433" s="8"/>
      <c r="E433" s="8"/>
      <c r="F433" s="8"/>
      <c r="G433" s="8"/>
      <c r="H433" s="10"/>
    </row>
    <row r="434" spans="1:8" ht="13">
      <c r="A434" s="7"/>
      <c r="B434" s="7"/>
      <c r="C434" s="7"/>
      <c r="D434" s="8"/>
      <c r="E434" s="8"/>
      <c r="F434" s="8"/>
      <c r="G434" s="8"/>
      <c r="H434" s="10"/>
    </row>
    <row r="435" spans="1:8" ht="13">
      <c r="A435" s="7"/>
      <c r="B435" s="7"/>
      <c r="C435" s="7"/>
      <c r="D435" s="8"/>
      <c r="E435" s="8"/>
      <c r="F435" s="8"/>
      <c r="G435" s="8"/>
      <c r="H435" s="10"/>
    </row>
    <row r="436" spans="1:8" ht="13">
      <c r="A436" s="7"/>
      <c r="B436" s="7"/>
      <c r="C436" s="7"/>
      <c r="D436" s="8"/>
      <c r="E436" s="8"/>
      <c r="F436" s="8"/>
      <c r="G436" s="8"/>
      <c r="H436" s="10"/>
    </row>
    <row r="437" spans="1:8" ht="13">
      <c r="A437" s="7"/>
      <c r="B437" s="7"/>
      <c r="C437" s="7"/>
      <c r="D437" s="8"/>
      <c r="E437" s="8"/>
      <c r="F437" s="8"/>
      <c r="G437" s="8"/>
      <c r="H437" s="10"/>
    </row>
    <row r="438" spans="1:8" ht="13">
      <c r="A438" s="7"/>
      <c r="B438" s="7"/>
      <c r="C438" s="7"/>
      <c r="D438" s="8"/>
      <c r="E438" s="8"/>
      <c r="F438" s="8"/>
      <c r="G438" s="8"/>
      <c r="H438" s="10"/>
    </row>
    <row r="439" spans="1:8" ht="13">
      <c r="A439" s="7"/>
      <c r="B439" s="7"/>
      <c r="C439" s="7"/>
      <c r="D439" s="8"/>
      <c r="E439" s="8"/>
      <c r="F439" s="8"/>
      <c r="G439" s="8"/>
      <c r="H439" s="10"/>
    </row>
    <row r="440" spans="1:8" ht="13">
      <c r="A440" s="7"/>
      <c r="B440" s="7"/>
      <c r="C440" s="7"/>
      <c r="D440" s="8"/>
      <c r="E440" s="8"/>
      <c r="F440" s="8"/>
      <c r="G440" s="8"/>
      <c r="H440" s="10"/>
    </row>
    <row r="441" spans="1:8" ht="13">
      <c r="A441" s="7"/>
      <c r="B441" s="7"/>
      <c r="C441" s="7"/>
      <c r="D441" s="8"/>
      <c r="E441" s="8"/>
      <c r="F441" s="8"/>
      <c r="G441" s="8"/>
      <c r="H441" s="10"/>
    </row>
    <row r="442" spans="1:8" ht="13">
      <c r="A442" s="7"/>
      <c r="B442" s="7"/>
      <c r="C442" s="7"/>
      <c r="D442" s="8"/>
      <c r="E442" s="8"/>
      <c r="F442" s="8"/>
      <c r="G442" s="8"/>
      <c r="H442" s="10"/>
    </row>
    <row r="443" spans="1:8" ht="13">
      <c r="A443" s="7"/>
      <c r="B443" s="7"/>
      <c r="C443" s="7"/>
      <c r="D443" s="8"/>
      <c r="E443" s="8"/>
      <c r="F443" s="8"/>
      <c r="G443" s="8"/>
      <c r="H443" s="10"/>
    </row>
    <row r="444" spans="1:8" ht="13">
      <c r="A444" s="7"/>
      <c r="B444" s="7"/>
      <c r="C444" s="7"/>
      <c r="D444" s="8"/>
      <c r="E444" s="8"/>
      <c r="F444" s="8"/>
      <c r="G444" s="8"/>
      <c r="H444" s="10"/>
    </row>
    <row r="445" spans="1:8" ht="13">
      <c r="A445" s="7"/>
      <c r="B445" s="7"/>
      <c r="C445" s="7"/>
      <c r="D445" s="8"/>
      <c r="E445" s="8"/>
      <c r="F445" s="8"/>
      <c r="G445" s="8"/>
      <c r="H445" s="10"/>
    </row>
    <row r="446" spans="1:8" ht="13">
      <c r="A446" s="7"/>
      <c r="B446" s="7"/>
      <c r="C446" s="7"/>
      <c r="D446" s="8"/>
      <c r="E446" s="8"/>
      <c r="F446" s="8"/>
      <c r="G446" s="8"/>
      <c r="H446" s="10"/>
    </row>
    <row r="447" spans="1:8" ht="13">
      <c r="A447" s="7"/>
      <c r="B447" s="7"/>
      <c r="C447" s="7"/>
      <c r="D447" s="8"/>
      <c r="E447" s="8"/>
      <c r="F447" s="8"/>
      <c r="G447" s="8"/>
      <c r="H447" s="10"/>
    </row>
    <row r="448" spans="1:8" ht="13">
      <c r="A448" s="7"/>
      <c r="B448" s="7"/>
      <c r="C448" s="7"/>
      <c r="D448" s="8"/>
      <c r="E448" s="8"/>
      <c r="F448" s="8"/>
      <c r="G448" s="8"/>
      <c r="H448" s="10"/>
    </row>
    <row r="449" spans="1:8" ht="13">
      <c r="A449" s="7"/>
      <c r="B449" s="7"/>
      <c r="C449" s="7"/>
      <c r="D449" s="8"/>
      <c r="E449" s="8"/>
      <c r="F449" s="8"/>
      <c r="G449" s="8"/>
      <c r="H449" s="10"/>
    </row>
    <row r="450" spans="1:8" ht="13">
      <c r="A450" s="7"/>
      <c r="B450" s="7"/>
      <c r="C450" s="7"/>
      <c r="D450" s="8"/>
      <c r="E450" s="8"/>
      <c r="F450" s="8"/>
      <c r="G450" s="8"/>
      <c r="H450" s="10"/>
    </row>
    <row r="451" spans="1:8" ht="13">
      <c r="A451" s="7"/>
      <c r="B451" s="7"/>
      <c r="C451" s="7"/>
      <c r="D451" s="8"/>
      <c r="E451" s="8"/>
      <c r="F451" s="8"/>
      <c r="G451" s="8"/>
      <c r="H451" s="10"/>
    </row>
    <row r="452" spans="1:8" ht="13">
      <c r="A452" s="7"/>
      <c r="B452" s="7"/>
      <c r="C452" s="7"/>
      <c r="D452" s="8"/>
      <c r="E452" s="8"/>
      <c r="F452" s="8"/>
      <c r="G452" s="8"/>
      <c r="H452" s="10"/>
    </row>
    <row r="453" spans="1:8" ht="13">
      <c r="A453" s="7"/>
      <c r="B453" s="7"/>
      <c r="C453" s="7"/>
      <c r="D453" s="8"/>
      <c r="E453" s="8"/>
      <c r="F453" s="8"/>
      <c r="G453" s="8"/>
      <c r="H453" s="10"/>
    </row>
    <row r="454" spans="1:8" ht="13">
      <c r="A454" s="7"/>
      <c r="B454" s="7"/>
      <c r="C454" s="7"/>
      <c r="D454" s="8"/>
      <c r="E454" s="8"/>
      <c r="F454" s="8"/>
      <c r="G454" s="8"/>
      <c r="H454" s="10"/>
    </row>
    <row r="455" spans="1:8" ht="13">
      <c r="A455" s="7"/>
      <c r="B455" s="7"/>
      <c r="C455" s="7"/>
      <c r="D455" s="8"/>
      <c r="E455" s="8"/>
      <c r="F455" s="8"/>
      <c r="G455" s="8"/>
      <c r="H455" s="10"/>
    </row>
    <row r="456" spans="1:8" ht="13">
      <c r="A456" s="7"/>
      <c r="B456" s="7"/>
      <c r="C456" s="7"/>
      <c r="D456" s="8"/>
      <c r="E456" s="8"/>
      <c r="F456" s="8"/>
      <c r="G456" s="8"/>
      <c r="H456" s="10"/>
    </row>
    <row r="457" spans="1:8" ht="13">
      <c r="A457" s="7"/>
      <c r="B457" s="7"/>
      <c r="C457" s="7"/>
      <c r="D457" s="8"/>
      <c r="E457" s="8"/>
      <c r="F457" s="8"/>
      <c r="G457" s="8"/>
      <c r="H457" s="10"/>
    </row>
    <row r="458" spans="1:8" ht="13">
      <c r="A458" s="7"/>
      <c r="B458" s="7"/>
      <c r="C458" s="7"/>
      <c r="D458" s="8"/>
      <c r="E458" s="8"/>
      <c r="F458" s="8"/>
      <c r="G458" s="8"/>
      <c r="H458" s="10"/>
    </row>
    <row r="459" spans="1:8" ht="13">
      <c r="A459" s="7"/>
      <c r="B459" s="7"/>
      <c r="C459" s="7"/>
      <c r="D459" s="8"/>
      <c r="E459" s="8"/>
      <c r="F459" s="8"/>
      <c r="G459" s="8"/>
      <c r="H459" s="10"/>
    </row>
    <row r="460" spans="1:8" ht="13">
      <c r="A460" s="7"/>
      <c r="B460" s="7"/>
      <c r="C460" s="7"/>
      <c r="D460" s="8"/>
      <c r="E460" s="8"/>
      <c r="F460" s="8"/>
      <c r="G460" s="8"/>
      <c r="H460" s="10"/>
    </row>
    <row r="461" spans="1:8" ht="13">
      <c r="A461" s="7"/>
      <c r="B461" s="7"/>
      <c r="C461" s="7"/>
      <c r="D461" s="8"/>
      <c r="E461" s="8"/>
      <c r="F461" s="8"/>
      <c r="G461" s="8"/>
      <c r="H461" s="10"/>
    </row>
    <row r="462" spans="1:8" ht="13">
      <c r="A462" s="7"/>
      <c r="B462" s="7"/>
      <c r="C462" s="7"/>
      <c r="D462" s="8"/>
      <c r="E462" s="8"/>
      <c r="F462" s="8"/>
      <c r="G462" s="8"/>
      <c r="H462" s="10"/>
    </row>
    <row r="463" spans="1:8" ht="13">
      <c r="A463" s="7"/>
      <c r="B463" s="7"/>
      <c r="C463" s="7"/>
      <c r="D463" s="8"/>
      <c r="E463" s="8"/>
      <c r="F463" s="8"/>
      <c r="G463" s="8"/>
      <c r="H463" s="10"/>
    </row>
    <row r="464" spans="1:8" ht="13">
      <c r="A464" s="7"/>
      <c r="B464" s="7"/>
      <c r="C464" s="7"/>
      <c r="D464" s="8"/>
      <c r="E464" s="8"/>
      <c r="F464" s="8"/>
      <c r="G464" s="8"/>
      <c r="H464" s="10"/>
    </row>
    <row r="465" spans="1:8" ht="13">
      <c r="A465" s="7"/>
      <c r="B465" s="7"/>
      <c r="C465" s="7"/>
      <c r="D465" s="8"/>
      <c r="E465" s="8"/>
      <c r="F465" s="8"/>
      <c r="G465" s="8"/>
      <c r="H465" s="10"/>
    </row>
    <row r="466" spans="1:8" ht="13">
      <c r="A466" s="7"/>
      <c r="B466" s="7"/>
      <c r="C466" s="7"/>
      <c r="D466" s="8"/>
      <c r="E466" s="8"/>
      <c r="F466" s="8"/>
      <c r="G466" s="8"/>
      <c r="H466" s="10"/>
    </row>
    <row r="467" spans="1:8" ht="13">
      <c r="A467" s="7"/>
      <c r="B467" s="7"/>
      <c r="C467" s="7"/>
      <c r="D467" s="8"/>
      <c r="E467" s="8"/>
      <c r="F467" s="8"/>
      <c r="G467" s="8"/>
      <c r="H467" s="10"/>
    </row>
    <row r="468" spans="1:8" ht="13">
      <c r="A468" s="7"/>
      <c r="B468" s="7"/>
      <c r="C468" s="7"/>
      <c r="D468" s="8"/>
      <c r="E468" s="8"/>
      <c r="F468" s="8"/>
      <c r="G468" s="8"/>
      <c r="H468" s="10"/>
    </row>
    <row r="469" spans="1:8" ht="13">
      <c r="A469" s="7"/>
      <c r="B469" s="7"/>
      <c r="C469" s="7"/>
      <c r="D469" s="8"/>
      <c r="E469" s="8"/>
      <c r="F469" s="8"/>
      <c r="G469" s="8"/>
      <c r="H469" s="10"/>
    </row>
    <row r="470" spans="1:8" ht="13">
      <c r="A470" s="7"/>
      <c r="B470" s="7"/>
      <c r="C470" s="7"/>
      <c r="D470" s="8"/>
      <c r="E470" s="8"/>
      <c r="F470" s="8"/>
      <c r="G470" s="8"/>
      <c r="H470" s="10"/>
    </row>
    <row r="471" spans="1:8" ht="13">
      <c r="A471" s="7"/>
      <c r="B471" s="7"/>
      <c r="C471" s="7"/>
      <c r="D471" s="8"/>
      <c r="E471" s="8"/>
      <c r="F471" s="8"/>
      <c r="G471" s="8"/>
      <c r="H471" s="10"/>
    </row>
    <row r="472" spans="1:8" ht="13">
      <c r="A472" s="7"/>
      <c r="B472" s="7"/>
      <c r="C472" s="7"/>
      <c r="D472" s="8"/>
      <c r="E472" s="8"/>
      <c r="F472" s="8"/>
      <c r="G472" s="8"/>
      <c r="H472" s="10"/>
    </row>
    <row r="473" spans="1:8" ht="13">
      <c r="A473" s="7"/>
      <c r="B473" s="7"/>
      <c r="C473" s="7"/>
      <c r="D473" s="8"/>
      <c r="E473" s="8"/>
      <c r="F473" s="8"/>
      <c r="G473" s="8"/>
      <c r="H473" s="10"/>
    </row>
    <row r="474" spans="1:8" ht="13">
      <c r="A474" s="7"/>
      <c r="B474" s="7"/>
      <c r="C474" s="7"/>
      <c r="D474" s="8"/>
      <c r="E474" s="8"/>
      <c r="F474" s="8"/>
      <c r="G474" s="8"/>
      <c r="H474" s="10"/>
    </row>
    <row r="475" spans="1:8" ht="13">
      <c r="A475" s="7"/>
      <c r="B475" s="7"/>
      <c r="C475" s="7"/>
      <c r="D475" s="8"/>
      <c r="E475" s="8"/>
      <c r="F475" s="8"/>
      <c r="G475" s="8"/>
      <c r="H475" s="10"/>
    </row>
    <row r="476" spans="1:8" ht="13">
      <c r="A476" s="7"/>
      <c r="B476" s="7"/>
      <c r="C476" s="7"/>
      <c r="D476" s="8"/>
      <c r="E476" s="8"/>
      <c r="F476" s="8"/>
      <c r="G476" s="8"/>
      <c r="H476" s="10"/>
    </row>
    <row r="477" spans="1:8" ht="13">
      <c r="A477" s="7"/>
      <c r="B477" s="7"/>
      <c r="C477" s="7"/>
      <c r="D477" s="8"/>
      <c r="E477" s="8"/>
      <c r="F477" s="8"/>
      <c r="G477" s="8"/>
      <c r="H477" s="10"/>
    </row>
    <row r="478" spans="1:8" ht="13">
      <c r="A478" s="7"/>
      <c r="B478" s="7"/>
      <c r="C478" s="7"/>
      <c r="D478" s="8"/>
      <c r="E478" s="8"/>
      <c r="F478" s="8"/>
      <c r="G478" s="8"/>
      <c r="H478" s="10"/>
    </row>
    <row r="479" spans="1:8" ht="13">
      <c r="A479" s="7"/>
      <c r="B479" s="7"/>
      <c r="C479" s="7"/>
      <c r="D479" s="8"/>
      <c r="E479" s="8"/>
      <c r="F479" s="8"/>
      <c r="G479" s="8"/>
      <c r="H479" s="10"/>
    </row>
    <row r="480" spans="1:8" ht="13">
      <c r="A480" s="7"/>
      <c r="B480" s="7"/>
      <c r="C480" s="7"/>
      <c r="D480" s="8"/>
      <c r="E480" s="8"/>
      <c r="F480" s="8"/>
      <c r="G480" s="8"/>
      <c r="H480" s="10"/>
    </row>
    <row r="481" spans="1:8" ht="13">
      <c r="A481" s="7"/>
      <c r="B481" s="7"/>
      <c r="C481" s="7"/>
      <c r="D481" s="8"/>
      <c r="E481" s="8"/>
      <c r="F481" s="8"/>
      <c r="G481" s="8"/>
      <c r="H481" s="10"/>
    </row>
    <row r="482" spans="1:8" ht="13">
      <c r="A482" s="7"/>
      <c r="B482" s="7"/>
      <c r="C482" s="7"/>
      <c r="D482" s="8"/>
      <c r="E482" s="8"/>
      <c r="F482" s="8"/>
      <c r="G482" s="8"/>
      <c r="H482" s="10"/>
    </row>
    <row r="483" spans="1:8" ht="13">
      <c r="A483" s="7"/>
      <c r="B483" s="7"/>
      <c r="C483" s="7"/>
      <c r="D483" s="8"/>
      <c r="E483" s="8"/>
      <c r="F483" s="8"/>
      <c r="G483" s="8"/>
      <c r="H483" s="10"/>
    </row>
    <row r="484" spans="1:8" ht="13">
      <c r="A484" s="7"/>
      <c r="B484" s="7"/>
      <c r="C484" s="7"/>
      <c r="D484" s="8"/>
      <c r="E484" s="8"/>
      <c r="F484" s="8"/>
      <c r="G484" s="8"/>
      <c r="H484" s="10"/>
    </row>
    <row r="485" spans="1:8" ht="13">
      <c r="A485" s="7"/>
      <c r="B485" s="7"/>
      <c r="C485" s="7"/>
      <c r="D485" s="8"/>
      <c r="E485" s="8"/>
      <c r="F485" s="8"/>
      <c r="G485" s="8"/>
      <c r="H485" s="10"/>
    </row>
    <row r="486" spans="1:8" ht="13">
      <c r="A486" s="7"/>
      <c r="B486" s="7"/>
      <c r="C486" s="7"/>
      <c r="D486" s="8"/>
      <c r="E486" s="8"/>
      <c r="F486" s="8"/>
      <c r="G486" s="8"/>
      <c r="H486" s="10"/>
    </row>
    <row r="487" spans="1:8" ht="13">
      <c r="A487" s="7"/>
      <c r="B487" s="7"/>
      <c r="C487" s="7"/>
      <c r="D487" s="8"/>
      <c r="E487" s="8"/>
      <c r="F487" s="8"/>
      <c r="G487" s="8"/>
      <c r="H487" s="10"/>
    </row>
    <row r="488" spans="1:8" ht="13">
      <c r="A488" s="7"/>
      <c r="B488" s="7"/>
      <c r="C488" s="7"/>
      <c r="D488" s="8"/>
      <c r="E488" s="8"/>
      <c r="F488" s="8"/>
      <c r="G488" s="8"/>
      <c r="H488" s="10"/>
    </row>
    <row r="489" spans="1:8" ht="13">
      <c r="A489" s="7"/>
      <c r="B489" s="7"/>
      <c r="C489" s="7"/>
      <c r="D489" s="8"/>
      <c r="E489" s="8"/>
      <c r="F489" s="8"/>
      <c r="G489" s="8"/>
      <c r="H489" s="10"/>
    </row>
    <row r="490" spans="1:8" ht="13">
      <c r="A490" s="7"/>
      <c r="B490" s="7"/>
      <c r="C490" s="7"/>
      <c r="D490" s="8"/>
      <c r="E490" s="8"/>
      <c r="F490" s="8"/>
      <c r="G490" s="8"/>
      <c r="H490" s="10"/>
    </row>
    <row r="491" spans="1:8" ht="13">
      <c r="A491" s="7"/>
      <c r="B491" s="7"/>
      <c r="C491" s="7"/>
      <c r="D491" s="8"/>
      <c r="E491" s="8"/>
      <c r="F491" s="8"/>
      <c r="G491" s="8"/>
      <c r="H491" s="10"/>
    </row>
    <row r="492" spans="1:8" ht="13">
      <c r="A492" s="7"/>
      <c r="B492" s="7"/>
      <c r="C492" s="7"/>
      <c r="D492" s="8"/>
      <c r="E492" s="8"/>
      <c r="F492" s="8"/>
      <c r="G492" s="8"/>
      <c r="H492" s="10"/>
    </row>
    <row r="493" spans="1:8" ht="13">
      <c r="A493" s="7"/>
      <c r="B493" s="7"/>
      <c r="C493" s="7"/>
      <c r="D493" s="8"/>
      <c r="E493" s="8"/>
      <c r="F493" s="8"/>
      <c r="G493" s="8"/>
      <c r="H493" s="10"/>
    </row>
    <row r="494" spans="1:8" ht="13">
      <c r="A494" s="7"/>
      <c r="B494" s="7"/>
      <c r="C494" s="7"/>
      <c r="D494" s="8"/>
      <c r="E494" s="8"/>
      <c r="F494" s="8"/>
      <c r="G494" s="8"/>
      <c r="H494" s="10"/>
    </row>
    <row r="495" spans="1:8" ht="13">
      <c r="A495" s="7"/>
      <c r="B495" s="7"/>
      <c r="C495" s="7"/>
      <c r="D495" s="8"/>
      <c r="E495" s="8"/>
      <c r="F495" s="8"/>
      <c r="G495" s="8"/>
      <c r="H495" s="10"/>
    </row>
    <row r="496" spans="1:8" ht="13">
      <c r="A496" s="7"/>
      <c r="B496" s="7"/>
      <c r="C496" s="7"/>
      <c r="D496" s="8"/>
      <c r="E496" s="8"/>
      <c r="F496" s="8"/>
      <c r="G496" s="8"/>
      <c r="H496" s="10"/>
    </row>
    <row r="497" spans="1:8" ht="13">
      <c r="A497" s="7"/>
      <c r="B497" s="7"/>
      <c r="C497" s="7"/>
      <c r="D497" s="8"/>
      <c r="E497" s="8"/>
      <c r="F497" s="8"/>
      <c r="G497" s="8"/>
      <c r="H497" s="10"/>
    </row>
    <row r="498" spans="1:8" ht="13">
      <c r="A498" s="7"/>
      <c r="B498" s="7"/>
      <c r="C498" s="7"/>
      <c r="D498" s="8"/>
      <c r="E498" s="8"/>
      <c r="F498" s="8"/>
      <c r="G498" s="8"/>
      <c r="H498" s="10"/>
    </row>
    <row r="499" spans="1:8" ht="13">
      <c r="A499" s="7"/>
      <c r="B499" s="7"/>
      <c r="C499" s="7"/>
      <c r="D499" s="8"/>
      <c r="E499" s="8"/>
      <c r="F499" s="8"/>
      <c r="G499" s="8"/>
      <c r="H499" s="10"/>
    </row>
    <row r="500" spans="1:8" ht="13">
      <c r="A500" s="7"/>
      <c r="B500" s="7"/>
      <c r="C500" s="7"/>
      <c r="D500" s="8"/>
      <c r="E500" s="8"/>
      <c r="F500" s="8"/>
      <c r="G500" s="8"/>
      <c r="H500" s="10"/>
    </row>
    <row r="501" spans="1:8" ht="13">
      <c r="A501" s="7"/>
      <c r="B501" s="7"/>
      <c r="C501" s="7"/>
      <c r="D501" s="8"/>
      <c r="E501" s="8"/>
      <c r="F501" s="8"/>
      <c r="G501" s="8"/>
      <c r="H501" s="10"/>
    </row>
    <row r="502" spans="1:8" ht="13">
      <c r="A502" s="7"/>
      <c r="B502" s="7"/>
      <c r="C502" s="7"/>
      <c r="D502" s="8"/>
      <c r="E502" s="8"/>
      <c r="F502" s="8"/>
      <c r="G502" s="8"/>
      <c r="H502" s="10"/>
    </row>
    <row r="503" spans="1:8" ht="13">
      <c r="A503" s="7"/>
      <c r="B503" s="7"/>
      <c r="C503" s="7"/>
      <c r="D503" s="8"/>
      <c r="E503" s="8"/>
      <c r="F503" s="8"/>
      <c r="G503" s="8"/>
      <c r="H503" s="10"/>
    </row>
    <row r="504" spans="1:8" ht="13">
      <c r="A504" s="7"/>
      <c r="B504" s="7"/>
      <c r="C504" s="7"/>
      <c r="D504" s="8"/>
      <c r="E504" s="8"/>
      <c r="F504" s="8"/>
      <c r="G504" s="8"/>
      <c r="H504" s="10"/>
    </row>
    <row r="505" spans="1:8" ht="13">
      <c r="A505" s="7"/>
      <c r="B505" s="7"/>
      <c r="C505" s="7"/>
      <c r="D505" s="8"/>
      <c r="E505" s="8"/>
      <c r="F505" s="8"/>
      <c r="G505" s="8"/>
      <c r="H505" s="10"/>
    </row>
    <row r="506" spans="1:8" ht="13">
      <c r="A506" s="7"/>
      <c r="B506" s="7"/>
      <c r="C506" s="7"/>
      <c r="D506" s="8"/>
      <c r="E506" s="8"/>
      <c r="F506" s="8"/>
      <c r="G506" s="8"/>
      <c r="H506" s="10"/>
    </row>
    <row r="507" spans="1:8" ht="13">
      <c r="A507" s="7"/>
      <c r="B507" s="7"/>
      <c r="C507" s="7"/>
      <c r="D507" s="8"/>
      <c r="E507" s="8"/>
      <c r="F507" s="8"/>
      <c r="G507" s="8"/>
      <c r="H507" s="10"/>
    </row>
    <row r="508" spans="1:8" ht="13">
      <c r="A508" s="7"/>
      <c r="B508" s="7"/>
      <c r="C508" s="7"/>
      <c r="D508" s="8"/>
      <c r="E508" s="8"/>
      <c r="F508" s="8"/>
      <c r="G508" s="8"/>
      <c r="H508" s="10"/>
    </row>
    <row r="509" spans="1:8" ht="13">
      <c r="A509" s="7"/>
      <c r="B509" s="7"/>
      <c r="C509" s="7"/>
      <c r="D509" s="8"/>
      <c r="E509" s="8"/>
      <c r="F509" s="8"/>
      <c r="G509" s="8"/>
      <c r="H509" s="10"/>
    </row>
    <row r="510" spans="1:8" ht="13">
      <c r="A510" s="7"/>
      <c r="B510" s="7"/>
      <c r="C510" s="7"/>
      <c r="D510" s="8"/>
      <c r="E510" s="8"/>
      <c r="F510" s="8"/>
      <c r="G510" s="8"/>
      <c r="H510" s="10"/>
    </row>
    <row r="511" spans="1:8" ht="13">
      <c r="A511" s="7"/>
      <c r="B511" s="7"/>
      <c r="C511" s="7"/>
      <c r="D511" s="8"/>
      <c r="E511" s="8"/>
      <c r="F511" s="8"/>
      <c r="G511" s="8"/>
      <c r="H511" s="10"/>
    </row>
    <row r="512" spans="1:8" ht="13">
      <c r="A512" s="7"/>
      <c r="B512" s="7"/>
      <c r="C512" s="7"/>
      <c r="D512" s="8"/>
      <c r="E512" s="8"/>
      <c r="F512" s="8"/>
      <c r="G512" s="8"/>
      <c r="H512" s="10"/>
    </row>
    <row r="513" spans="1:8" ht="13">
      <c r="A513" s="7"/>
      <c r="B513" s="7"/>
      <c r="C513" s="7"/>
      <c r="D513" s="8"/>
      <c r="E513" s="8"/>
      <c r="F513" s="8"/>
      <c r="G513" s="8"/>
      <c r="H513" s="10"/>
    </row>
    <row r="514" spans="1:8" ht="13">
      <c r="A514" s="7"/>
      <c r="B514" s="7"/>
      <c r="C514" s="7"/>
      <c r="D514" s="8"/>
      <c r="E514" s="8"/>
      <c r="F514" s="8"/>
      <c r="G514" s="8"/>
      <c r="H514" s="10"/>
    </row>
    <row r="515" spans="1:8" ht="13">
      <c r="A515" s="7"/>
      <c r="B515" s="7"/>
      <c r="C515" s="7"/>
      <c r="D515" s="8"/>
      <c r="E515" s="8"/>
      <c r="F515" s="8"/>
      <c r="G515" s="8"/>
      <c r="H515" s="10"/>
    </row>
    <row r="516" spans="1:8" ht="13">
      <c r="A516" s="7"/>
      <c r="B516" s="7"/>
      <c r="C516" s="7"/>
      <c r="D516" s="8"/>
      <c r="E516" s="8"/>
      <c r="F516" s="8"/>
      <c r="G516" s="8"/>
      <c r="H516" s="10"/>
    </row>
    <row r="517" spans="1:8" ht="13">
      <c r="A517" s="7"/>
      <c r="B517" s="7"/>
      <c r="C517" s="7"/>
      <c r="D517" s="8"/>
      <c r="E517" s="8"/>
      <c r="F517" s="8"/>
      <c r="G517" s="8"/>
      <c r="H517" s="10"/>
    </row>
    <row r="518" spans="1:8" ht="13">
      <c r="A518" s="7"/>
      <c r="B518" s="7"/>
      <c r="C518" s="7"/>
      <c r="D518" s="8"/>
      <c r="E518" s="8"/>
      <c r="F518" s="8"/>
      <c r="G518" s="8"/>
      <c r="H518" s="10"/>
    </row>
    <row r="519" spans="1:8" ht="13">
      <c r="A519" s="7"/>
      <c r="B519" s="7"/>
      <c r="C519" s="7"/>
      <c r="D519" s="8"/>
      <c r="E519" s="8"/>
      <c r="F519" s="8"/>
      <c r="G519" s="8"/>
      <c r="H519" s="10"/>
    </row>
    <row r="520" spans="1:8" ht="13">
      <c r="A520" s="7"/>
      <c r="B520" s="7"/>
      <c r="C520" s="7"/>
      <c r="D520" s="8"/>
      <c r="E520" s="8"/>
      <c r="F520" s="8"/>
      <c r="G520" s="8"/>
      <c r="H520" s="10"/>
    </row>
    <row r="521" spans="1:8" ht="13">
      <c r="A521" s="7"/>
      <c r="B521" s="7"/>
      <c r="C521" s="7"/>
      <c r="D521" s="8"/>
      <c r="E521" s="8"/>
      <c r="F521" s="8"/>
      <c r="G521" s="8"/>
      <c r="H521" s="10"/>
    </row>
    <row r="522" spans="1:8" ht="13">
      <c r="A522" s="7"/>
      <c r="B522" s="7"/>
      <c r="C522" s="7"/>
      <c r="D522" s="8"/>
      <c r="E522" s="8"/>
      <c r="F522" s="8"/>
      <c r="G522" s="8"/>
      <c r="H522" s="10"/>
    </row>
    <row r="523" spans="1:8" ht="13">
      <c r="A523" s="7"/>
      <c r="B523" s="7"/>
      <c r="C523" s="7"/>
      <c r="D523" s="8"/>
      <c r="E523" s="8"/>
      <c r="F523" s="8"/>
      <c r="G523" s="8"/>
      <c r="H523" s="10"/>
    </row>
    <row r="524" spans="1:8" ht="13">
      <c r="A524" s="7"/>
      <c r="B524" s="7"/>
      <c r="C524" s="7"/>
      <c r="D524" s="8"/>
      <c r="E524" s="8"/>
      <c r="F524" s="8"/>
      <c r="G524" s="8"/>
      <c r="H524" s="10"/>
    </row>
    <row r="525" spans="1:8" ht="13">
      <c r="A525" s="7"/>
      <c r="B525" s="7"/>
      <c r="C525" s="7"/>
      <c r="D525" s="8"/>
      <c r="E525" s="8"/>
      <c r="F525" s="8"/>
      <c r="G525" s="8"/>
      <c r="H525" s="10"/>
    </row>
    <row r="526" spans="1:8" ht="13">
      <c r="A526" s="7"/>
      <c r="B526" s="7"/>
      <c r="C526" s="7"/>
      <c r="D526" s="8"/>
      <c r="E526" s="8"/>
      <c r="F526" s="8"/>
      <c r="G526" s="8"/>
      <c r="H526" s="10"/>
    </row>
    <row r="527" spans="1:8" ht="13">
      <c r="A527" s="7"/>
      <c r="B527" s="7"/>
      <c r="C527" s="7"/>
      <c r="D527" s="8"/>
      <c r="E527" s="8"/>
      <c r="F527" s="8"/>
      <c r="G527" s="8"/>
      <c r="H527" s="10"/>
    </row>
    <row r="528" spans="1:8" ht="13">
      <c r="A528" s="7"/>
      <c r="B528" s="7"/>
      <c r="C528" s="7"/>
      <c r="D528" s="8"/>
      <c r="E528" s="8"/>
      <c r="F528" s="8"/>
      <c r="G528" s="8"/>
      <c r="H528" s="10"/>
    </row>
    <row r="529" spans="1:8" ht="13">
      <c r="A529" s="7"/>
      <c r="B529" s="7"/>
      <c r="C529" s="7"/>
      <c r="D529" s="8"/>
      <c r="E529" s="8"/>
      <c r="F529" s="8"/>
      <c r="G529" s="8"/>
      <c r="H529" s="10"/>
    </row>
    <row r="530" spans="1:8" ht="13">
      <c r="A530" s="7"/>
      <c r="B530" s="7"/>
      <c r="C530" s="7"/>
      <c r="D530" s="8"/>
      <c r="E530" s="8"/>
      <c r="F530" s="8"/>
      <c r="G530" s="8"/>
      <c r="H530" s="10"/>
    </row>
    <row r="531" spans="1:8" ht="13">
      <c r="A531" s="7"/>
      <c r="B531" s="7"/>
      <c r="C531" s="7"/>
      <c r="D531" s="8"/>
      <c r="E531" s="8"/>
      <c r="F531" s="8"/>
      <c r="G531" s="8"/>
      <c r="H531" s="10"/>
    </row>
    <row r="532" spans="1:8" ht="13">
      <c r="A532" s="7"/>
      <c r="B532" s="7"/>
      <c r="C532" s="7"/>
      <c r="D532" s="8"/>
      <c r="E532" s="8"/>
      <c r="F532" s="8"/>
      <c r="G532" s="8"/>
      <c r="H532" s="10"/>
    </row>
    <row r="533" spans="1:8" ht="13">
      <c r="A533" s="7"/>
      <c r="B533" s="7"/>
      <c r="C533" s="7"/>
      <c r="D533" s="8"/>
      <c r="E533" s="8"/>
      <c r="F533" s="8"/>
      <c r="G533" s="8"/>
      <c r="H533" s="10"/>
    </row>
    <row r="534" spans="1:8" ht="13">
      <c r="A534" s="7"/>
      <c r="B534" s="7"/>
      <c r="C534" s="7"/>
      <c r="D534" s="8"/>
      <c r="E534" s="8"/>
      <c r="F534" s="8"/>
      <c r="G534" s="8"/>
      <c r="H534" s="10"/>
    </row>
    <row r="535" spans="1:8" ht="13">
      <c r="A535" s="7"/>
      <c r="B535" s="7"/>
      <c r="C535" s="7"/>
      <c r="D535" s="8"/>
      <c r="E535" s="8"/>
      <c r="F535" s="8"/>
      <c r="G535" s="8"/>
      <c r="H535" s="10"/>
    </row>
    <row r="536" spans="1:8" ht="13">
      <c r="A536" s="7"/>
      <c r="B536" s="7"/>
      <c r="C536" s="7"/>
      <c r="D536" s="8"/>
      <c r="E536" s="8"/>
      <c r="F536" s="8"/>
      <c r="G536" s="8"/>
      <c r="H536" s="10"/>
    </row>
    <row r="537" spans="1:8" ht="13">
      <c r="A537" s="7"/>
      <c r="B537" s="7"/>
      <c r="C537" s="7"/>
      <c r="D537" s="8"/>
      <c r="E537" s="8"/>
      <c r="F537" s="8"/>
      <c r="G537" s="8"/>
      <c r="H537" s="10"/>
    </row>
    <row r="538" spans="1:8" ht="13">
      <c r="A538" s="7"/>
      <c r="B538" s="7"/>
      <c r="C538" s="7"/>
      <c r="D538" s="8"/>
      <c r="E538" s="8"/>
      <c r="F538" s="8"/>
      <c r="G538" s="8"/>
      <c r="H538" s="10"/>
    </row>
    <row r="539" spans="1:8" ht="13">
      <c r="A539" s="7"/>
      <c r="B539" s="7"/>
      <c r="C539" s="7"/>
      <c r="D539" s="8"/>
      <c r="E539" s="8"/>
      <c r="F539" s="8"/>
      <c r="G539" s="8"/>
      <c r="H539" s="10"/>
    </row>
    <row r="540" spans="1:8" ht="13">
      <c r="A540" s="7"/>
      <c r="B540" s="7"/>
      <c r="C540" s="7"/>
      <c r="D540" s="8"/>
      <c r="E540" s="8"/>
      <c r="F540" s="8"/>
      <c r="G540" s="8"/>
      <c r="H540" s="10"/>
    </row>
    <row r="541" spans="1:8" ht="13">
      <c r="A541" s="7"/>
      <c r="B541" s="7"/>
      <c r="C541" s="7"/>
      <c r="D541" s="8"/>
      <c r="E541" s="8"/>
      <c r="F541" s="8"/>
      <c r="G541" s="8"/>
      <c r="H541" s="10"/>
    </row>
    <row r="542" spans="1:8" ht="13">
      <c r="A542" s="7"/>
      <c r="B542" s="7"/>
      <c r="C542" s="7"/>
      <c r="D542" s="8"/>
      <c r="E542" s="8"/>
      <c r="F542" s="8"/>
      <c r="G542" s="8"/>
      <c r="H542" s="10"/>
    </row>
    <row r="543" spans="1:8" ht="13">
      <c r="A543" s="7"/>
      <c r="B543" s="7"/>
      <c r="C543" s="7"/>
      <c r="D543" s="8"/>
      <c r="E543" s="8"/>
      <c r="F543" s="8"/>
      <c r="G543" s="8"/>
      <c r="H543" s="10"/>
    </row>
    <row r="544" spans="1:8" ht="13">
      <c r="A544" s="7"/>
      <c r="B544" s="7"/>
      <c r="C544" s="7"/>
      <c r="D544" s="8"/>
      <c r="E544" s="8"/>
      <c r="F544" s="8"/>
      <c r="G544" s="8"/>
      <c r="H544" s="10"/>
    </row>
    <row r="545" spans="1:8" ht="13">
      <c r="A545" s="7"/>
      <c r="B545" s="7"/>
      <c r="C545" s="7"/>
      <c r="D545" s="8"/>
      <c r="E545" s="8"/>
      <c r="F545" s="8"/>
      <c r="G545" s="8"/>
      <c r="H545" s="10"/>
    </row>
    <row r="546" spans="1:8" ht="13">
      <c r="A546" s="7"/>
      <c r="B546" s="7"/>
      <c r="C546" s="7"/>
      <c r="D546" s="8"/>
      <c r="E546" s="8"/>
      <c r="F546" s="8"/>
      <c r="G546" s="8"/>
      <c r="H546" s="10"/>
    </row>
    <row r="547" spans="1:8" ht="13">
      <c r="A547" s="7"/>
      <c r="B547" s="7"/>
      <c r="C547" s="7"/>
      <c r="D547" s="8"/>
      <c r="E547" s="8"/>
      <c r="F547" s="8"/>
      <c r="G547" s="8"/>
      <c r="H547" s="10"/>
    </row>
    <row r="548" spans="1:8" ht="13">
      <c r="A548" s="7"/>
      <c r="B548" s="7"/>
      <c r="C548" s="7"/>
      <c r="D548" s="8"/>
      <c r="E548" s="8"/>
      <c r="F548" s="8"/>
      <c r="G548" s="8"/>
      <c r="H548" s="10"/>
    </row>
    <row r="549" spans="1:8" ht="13">
      <c r="A549" s="7"/>
      <c r="B549" s="7"/>
      <c r="C549" s="7"/>
      <c r="D549" s="8"/>
      <c r="E549" s="8"/>
      <c r="F549" s="8"/>
      <c r="G549" s="8"/>
      <c r="H549" s="10"/>
    </row>
    <row r="550" spans="1:8" ht="13">
      <c r="A550" s="7"/>
      <c r="B550" s="7"/>
      <c r="C550" s="7"/>
      <c r="D550" s="8"/>
      <c r="E550" s="8"/>
      <c r="F550" s="8"/>
      <c r="G550" s="8"/>
      <c r="H550" s="10"/>
    </row>
    <row r="551" spans="1:8" ht="13">
      <c r="A551" s="7"/>
      <c r="B551" s="7"/>
      <c r="C551" s="7"/>
      <c r="D551" s="8"/>
      <c r="E551" s="8"/>
      <c r="F551" s="8"/>
      <c r="G551" s="8"/>
      <c r="H551" s="10"/>
    </row>
    <row r="552" spans="1:8" ht="13">
      <c r="A552" s="7"/>
      <c r="B552" s="7"/>
      <c r="C552" s="7"/>
      <c r="D552" s="8"/>
      <c r="E552" s="8"/>
      <c r="F552" s="8"/>
      <c r="G552" s="8"/>
      <c r="H552" s="10"/>
    </row>
    <row r="553" spans="1:8" ht="13">
      <c r="A553" s="7"/>
      <c r="B553" s="7"/>
      <c r="C553" s="7"/>
      <c r="D553" s="8"/>
      <c r="E553" s="8"/>
      <c r="F553" s="8"/>
      <c r="G553" s="8"/>
      <c r="H553" s="10"/>
    </row>
    <row r="554" spans="1:8" ht="13">
      <c r="A554" s="7"/>
      <c r="B554" s="7"/>
      <c r="C554" s="7"/>
      <c r="D554" s="8"/>
      <c r="E554" s="8"/>
      <c r="F554" s="8"/>
      <c r="G554" s="8"/>
      <c r="H554" s="10"/>
    </row>
    <row r="555" spans="1:8" ht="13">
      <c r="A555" s="7"/>
      <c r="B555" s="7"/>
      <c r="C555" s="7"/>
      <c r="D555" s="8"/>
      <c r="E555" s="8"/>
      <c r="F555" s="8"/>
      <c r="G555" s="8"/>
      <c r="H555" s="10"/>
    </row>
    <row r="556" spans="1:8" ht="13">
      <c r="A556" s="7"/>
      <c r="B556" s="7"/>
      <c r="C556" s="7"/>
      <c r="D556" s="8"/>
      <c r="E556" s="8"/>
      <c r="F556" s="8"/>
      <c r="G556" s="8"/>
      <c r="H556" s="10"/>
    </row>
    <row r="557" spans="1:8" ht="13">
      <c r="A557" s="7"/>
      <c r="B557" s="7"/>
      <c r="C557" s="7"/>
      <c r="D557" s="8"/>
      <c r="E557" s="8"/>
      <c r="F557" s="8"/>
      <c r="G557" s="8"/>
      <c r="H557" s="10"/>
    </row>
    <row r="558" spans="1:8" ht="13">
      <c r="A558" s="7"/>
      <c r="B558" s="7"/>
      <c r="C558" s="7"/>
      <c r="D558" s="8"/>
      <c r="E558" s="8"/>
      <c r="F558" s="8"/>
      <c r="G558" s="8"/>
      <c r="H558" s="10"/>
    </row>
    <row r="559" spans="1:8" ht="13">
      <c r="A559" s="7"/>
      <c r="B559" s="7"/>
      <c r="C559" s="7"/>
      <c r="D559" s="8"/>
      <c r="E559" s="8"/>
      <c r="F559" s="8"/>
      <c r="G559" s="8"/>
      <c r="H559" s="10"/>
    </row>
    <row r="560" spans="1:8" ht="13">
      <c r="A560" s="7"/>
      <c r="B560" s="7"/>
      <c r="C560" s="7"/>
      <c r="D560" s="8"/>
      <c r="E560" s="8"/>
      <c r="F560" s="8"/>
      <c r="G560" s="8"/>
      <c r="H560" s="10"/>
    </row>
    <row r="561" spans="1:8" ht="13">
      <c r="A561" s="7"/>
      <c r="B561" s="7"/>
      <c r="C561" s="7"/>
      <c r="D561" s="8"/>
      <c r="E561" s="8"/>
      <c r="F561" s="8"/>
      <c r="G561" s="8"/>
      <c r="H561" s="10"/>
    </row>
    <row r="562" spans="1:8" ht="13">
      <c r="A562" s="7"/>
      <c r="B562" s="7"/>
      <c r="C562" s="7"/>
      <c r="D562" s="8"/>
      <c r="E562" s="8"/>
      <c r="F562" s="8"/>
      <c r="G562" s="8"/>
      <c r="H562" s="10"/>
    </row>
    <row r="563" spans="1:8" ht="13">
      <c r="A563" s="7"/>
      <c r="B563" s="7"/>
      <c r="C563" s="7"/>
      <c r="D563" s="8"/>
      <c r="E563" s="8"/>
      <c r="F563" s="8"/>
      <c r="G563" s="8"/>
      <c r="H563" s="10"/>
    </row>
    <row r="564" spans="1:8" ht="13">
      <c r="A564" s="7"/>
      <c r="B564" s="7"/>
      <c r="C564" s="7"/>
      <c r="D564" s="8"/>
      <c r="E564" s="8"/>
      <c r="F564" s="8"/>
      <c r="G564" s="8"/>
      <c r="H564" s="10"/>
    </row>
    <row r="565" spans="1:8" ht="13">
      <c r="A565" s="7"/>
      <c r="B565" s="7"/>
      <c r="C565" s="7"/>
      <c r="D565" s="8"/>
      <c r="E565" s="8"/>
      <c r="F565" s="8"/>
      <c r="G565" s="8"/>
      <c r="H565" s="10"/>
    </row>
    <row r="566" spans="1:8" ht="13">
      <c r="A566" s="7"/>
      <c r="B566" s="7"/>
      <c r="C566" s="7"/>
      <c r="D566" s="8"/>
      <c r="E566" s="8"/>
      <c r="F566" s="8"/>
      <c r="G566" s="8"/>
      <c r="H566" s="10"/>
    </row>
    <row r="567" spans="1:8" ht="13">
      <c r="A567" s="7"/>
      <c r="B567" s="7"/>
      <c r="C567" s="7"/>
      <c r="D567" s="8"/>
      <c r="E567" s="8"/>
      <c r="F567" s="8"/>
      <c r="G567" s="8"/>
      <c r="H567" s="10"/>
    </row>
    <row r="568" spans="1:8" ht="13">
      <c r="A568" s="7"/>
      <c r="B568" s="7"/>
      <c r="C568" s="7"/>
      <c r="D568" s="8"/>
      <c r="E568" s="8"/>
      <c r="F568" s="8"/>
      <c r="G568" s="8"/>
      <c r="H568" s="10"/>
    </row>
    <row r="569" spans="1:8" ht="13">
      <c r="A569" s="7"/>
      <c r="B569" s="7"/>
      <c r="C569" s="7"/>
      <c r="D569" s="8"/>
      <c r="E569" s="8"/>
      <c r="F569" s="8"/>
      <c r="G569" s="8"/>
      <c r="H569" s="10"/>
    </row>
    <row r="570" spans="1:8" ht="13">
      <c r="A570" s="7"/>
      <c r="B570" s="7"/>
      <c r="C570" s="7"/>
      <c r="D570" s="8"/>
      <c r="E570" s="8"/>
      <c r="F570" s="8"/>
      <c r="G570" s="8"/>
      <c r="H570" s="10"/>
    </row>
    <row r="571" spans="1:8" ht="13">
      <c r="A571" s="7"/>
      <c r="B571" s="7"/>
      <c r="C571" s="7"/>
      <c r="D571" s="8"/>
      <c r="E571" s="8"/>
      <c r="F571" s="8"/>
      <c r="G571" s="8"/>
      <c r="H571" s="10"/>
    </row>
    <row r="572" spans="1:8" ht="13">
      <c r="A572" s="7"/>
      <c r="B572" s="7"/>
      <c r="C572" s="7"/>
      <c r="D572" s="8"/>
      <c r="E572" s="8"/>
      <c r="F572" s="8"/>
      <c r="G572" s="8"/>
      <c r="H572" s="10"/>
    </row>
    <row r="573" spans="1:8" ht="13">
      <c r="A573" s="7"/>
      <c r="B573" s="7"/>
      <c r="C573" s="7"/>
      <c r="D573" s="8"/>
      <c r="E573" s="8"/>
      <c r="F573" s="8"/>
      <c r="G573" s="8"/>
      <c r="H573" s="10"/>
    </row>
    <row r="574" spans="1:8" ht="13">
      <c r="A574" s="7"/>
      <c r="B574" s="7"/>
      <c r="C574" s="7"/>
      <c r="D574" s="8"/>
      <c r="E574" s="8"/>
      <c r="F574" s="8"/>
      <c r="G574" s="8"/>
      <c r="H574" s="10"/>
    </row>
    <row r="575" spans="1:8" ht="13">
      <c r="A575" s="7"/>
      <c r="B575" s="7"/>
      <c r="C575" s="7"/>
      <c r="D575" s="8"/>
      <c r="E575" s="8"/>
      <c r="F575" s="8"/>
      <c r="G575" s="8"/>
      <c r="H575" s="10"/>
    </row>
    <row r="576" spans="1:8" ht="13">
      <c r="A576" s="7"/>
      <c r="B576" s="7"/>
      <c r="C576" s="7"/>
      <c r="D576" s="8"/>
      <c r="E576" s="8"/>
      <c r="F576" s="8"/>
      <c r="G576" s="8"/>
      <c r="H576" s="10"/>
    </row>
    <row r="577" spans="1:8" ht="13">
      <c r="A577" s="7"/>
      <c r="B577" s="7"/>
      <c r="C577" s="7"/>
      <c r="D577" s="8"/>
      <c r="E577" s="8"/>
      <c r="F577" s="8"/>
      <c r="G577" s="8"/>
      <c r="H577" s="10"/>
    </row>
    <row r="578" spans="1:8" ht="13">
      <c r="A578" s="7"/>
      <c r="B578" s="7"/>
      <c r="C578" s="7"/>
      <c r="D578" s="8"/>
      <c r="E578" s="8"/>
      <c r="F578" s="8"/>
      <c r="G578" s="8"/>
      <c r="H578" s="10"/>
    </row>
    <row r="579" spans="1:8" ht="13">
      <c r="A579" s="7"/>
      <c r="B579" s="7"/>
      <c r="C579" s="7"/>
      <c r="D579" s="8"/>
      <c r="E579" s="8"/>
      <c r="F579" s="8"/>
      <c r="G579" s="8"/>
      <c r="H579" s="10"/>
    </row>
    <row r="580" spans="1:8" ht="13">
      <c r="A580" s="7"/>
      <c r="B580" s="7"/>
      <c r="C580" s="7"/>
      <c r="D580" s="8"/>
      <c r="E580" s="8"/>
      <c r="F580" s="8"/>
      <c r="G580" s="8"/>
      <c r="H580" s="10"/>
    </row>
    <row r="581" spans="1:8" ht="13">
      <c r="A581" s="7"/>
      <c r="B581" s="7"/>
      <c r="C581" s="7"/>
      <c r="D581" s="8"/>
      <c r="E581" s="8"/>
      <c r="F581" s="8"/>
      <c r="G581" s="8"/>
      <c r="H581" s="10"/>
    </row>
    <row r="582" spans="1:8" ht="13">
      <c r="A582" s="7"/>
      <c r="B582" s="7"/>
      <c r="C582" s="7"/>
      <c r="D582" s="8"/>
      <c r="E582" s="8"/>
      <c r="F582" s="8"/>
      <c r="G582" s="8"/>
      <c r="H582" s="10"/>
    </row>
    <row r="583" spans="1:8" ht="13">
      <c r="A583" s="7"/>
      <c r="B583" s="7"/>
      <c r="C583" s="7"/>
      <c r="D583" s="8"/>
      <c r="E583" s="8"/>
      <c r="F583" s="8"/>
      <c r="G583" s="8"/>
      <c r="H583" s="10"/>
    </row>
    <row r="584" spans="1:8" ht="13">
      <c r="A584" s="7"/>
      <c r="B584" s="7"/>
      <c r="C584" s="7"/>
      <c r="D584" s="8"/>
      <c r="E584" s="8"/>
      <c r="F584" s="8"/>
      <c r="G584" s="8"/>
      <c r="H584" s="10"/>
    </row>
    <row r="585" spans="1:8" ht="13">
      <c r="A585" s="7"/>
      <c r="B585" s="7"/>
      <c r="C585" s="7"/>
      <c r="D585" s="8"/>
      <c r="E585" s="8"/>
      <c r="F585" s="8"/>
      <c r="G585" s="8"/>
      <c r="H585" s="10"/>
    </row>
    <row r="586" spans="1:8" ht="13">
      <c r="A586" s="7"/>
      <c r="B586" s="7"/>
      <c r="C586" s="7"/>
      <c r="D586" s="8"/>
      <c r="E586" s="8"/>
      <c r="F586" s="8"/>
      <c r="G586" s="8"/>
      <c r="H586" s="10"/>
    </row>
    <row r="587" spans="1:8" ht="13">
      <c r="A587" s="7"/>
      <c r="B587" s="7"/>
      <c r="C587" s="7"/>
      <c r="D587" s="8"/>
      <c r="E587" s="8"/>
      <c r="F587" s="8"/>
      <c r="G587" s="8"/>
      <c r="H587" s="10"/>
    </row>
    <row r="588" spans="1:8" ht="13">
      <c r="A588" s="7"/>
      <c r="B588" s="7"/>
      <c r="C588" s="7"/>
      <c r="D588" s="8"/>
      <c r="E588" s="8"/>
      <c r="F588" s="8"/>
      <c r="G588" s="8"/>
      <c r="H588" s="10"/>
    </row>
    <row r="589" spans="1:8" ht="13">
      <c r="A589" s="7"/>
      <c r="B589" s="7"/>
      <c r="C589" s="7"/>
      <c r="D589" s="8"/>
      <c r="E589" s="8"/>
      <c r="F589" s="8"/>
      <c r="G589" s="8"/>
      <c r="H589" s="10"/>
    </row>
    <row r="590" spans="1:8" ht="13">
      <c r="A590" s="7"/>
      <c r="B590" s="7"/>
      <c r="C590" s="7"/>
      <c r="D590" s="8"/>
      <c r="E590" s="8"/>
      <c r="F590" s="8"/>
      <c r="G590" s="8"/>
      <c r="H590" s="10"/>
    </row>
    <row r="591" spans="1:8" ht="13">
      <c r="A591" s="7"/>
      <c r="B591" s="7"/>
      <c r="C591" s="7"/>
      <c r="D591" s="8"/>
      <c r="E591" s="8"/>
      <c r="F591" s="8"/>
      <c r="G591" s="8"/>
      <c r="H591" s="10"/>
    </row>
    <row r="592" spans="1:8" ht="13">
      <c r="A592" s="7"/>
      <c r="B592" s="7"/>
      <c r="C592" s="7"/>
      <c r="D592" s="8"/>
      <c r="E592" s="8"/>
      <c r="F592" s="8"/>
      <c r="G592" s="8"/>
      <c r="H592" s="10"/>
    </row>
    <row r="593" spans="1:8" ht="13">
      <c r="A593" s="7"/>
      <c r="B593" s="7"/>
      <c r="C593" s="7"/>
      <c r="D593" s="8"/>
      <c r="E593" s="8"/>
      <c r="F593" s="8"/>
      <c r="G593" s="8"/>
      <c r="H593" s="10"/>
    </row>
    <row r="594" spans="1:8" ht="13">
      <c r="A594" s="7"/>
      <c r="B594" s="7"/>
      <c r="C594" s="7"/>
      <c r="D594" s="8"/>
      <c r="E594" s="8"/>
      <c r="F594" s="8"/>
      <c r="G594" s="8"/>
      <c r="H594" s="10"/>
    </row>
    <row r="595" spans="1:8" ht="13">
      <c r="A595" s="7"/>
      <c r="B595" s="7"/>
      <c r="C595" s="7"/>
      <c r="D595" s="8"/>
      <c r="E595" s="8"/>
      <c r="F595" s="8"/>
      <c r="G595" s="8"/>
      <c r="H595" s="10"/>
    </row>
    <row r="596" spans="1:8" ht="13">
      <c r="A596" s="7"/>
      <c r="B596" s="7"/>
      <c r="C596" s="7"/>
      <c r="D596" s="8"/>
      <c r="E596" s="8"/>
      <c r="F596" s="8"/>
      <c r="G596" s="8"/>
      <c r="H596" s="10"/>
    </row>
    <row r="597" spans="1:8" ht="13">
      <c r="A597" s="7"/>
      <c r="B597" s="7"/>
      <c r="C597" s="7"/>
      <c r="D597" s="8"/>
      <c r="E597" s="8"/>
      <c r="F597" s="8"/>
      <c r="G597" s="8"/>
      <c r="H597" s="10"/>
    </row>
    <row r="598" spans="1:8" ht="13">
      <c r="A598" s="7"/>
      <c r="B598" s="7"/>
      <c r="C598" s="7"/>
      <c r="D598" s="8"/>
      <c r="E598" s="8"/>
      <c r="F598" s="8"/>
      <c r="G598" s="8"/>
      <c r="H598" s="10"/>
    </row>
    <row r="599" spans="1:8" ht="13">
      <c r="A599" s="7"/>
      <c r="B599" s="7"/>
      <c r="C599" s="7"/>
      <c r="D599" s="8"/>
      <c r="E599" s="8"/>
      <c r="F599" s="8"/>
      <c r="G599" s="8"/>
      <c r="H599" s="10"/>
    </row>
    <row r="600" spans="1:8" ht="13">
      <c r="A600" s="7"/>
      <c r="B600" s="7"/>
      <c r="C600" s="7"/>
      <c r="D600" s="8"/>
      <c r="E600" s="8"/>
      <c r="F600" s="8"/>
      <c r="G600" s="8"/>
      <c r="H600" s="10"/>
    </row>
    <row r="601" spans="1:8" ht="13">
      <c r="A601" s="7"/>
      <c r="B601" s="7"/>
      <c r="C601" s="7"/>
      <c r="D601" s="8"/>
      <c r="E601" s="8"/>
      <c r="F601" s="8"/>
      <c r="G601" s="8"/>
      <c r="H601" s="10"/>
    </row>
    <row r="602" spans="1:8" ht="13">
      <c r="A602" s="7"/>
      <c r="B602" s="7"/>
      <c r="C602" s="7"/>
      <c r="D602" s="8"/>
      <c r="E602" s="8"/>
      <c r="F602" s="8"/>
      <c r="G602" s="8"/>
      <c r="H602" s="10"/>
    </row>
    <row r="603" spans="1:8" ht="13">
      <c r="A603" s="7"/>
      <c r="B603" s="7"/>
      <c r="C603" s="7"/>
      <c r="D603" s="8"/>
      <c r="E603" s="8"/>
      <c r="F603" s="8"/>
      <c r="G603" s="8"/>
      <c r="H603" s="10"/>
    </row>
    <row r="604" spans="1:8" ht="13">
      <c r="A604" s="7"/>
      <c r="B604" s="7"/>
      <c r="C604" s="7"/>
      <c r="D604" s="8"/>
      <c r="E604" s="8"/>
      <c r="F604" s="8"/>
      <c r="G604" s="8"/>
      <c r="H604" s="10"/>
    </row>
    <row r="605" spans="1:8" ht="13">
      <c r="A605" s="7"/>
      <c r="B605" s="7"/>
      <c r="C605" s="7"/>
      <c r="D605" s="8"/>
      <c r="E605" s="8"/>
      <c r="F605" s="8"/>
      <c r="G605" s="8"/>
      <c r="H605" s="10"/>
    </row>
    <row r="606" spans="1:8" ht="13">
      <c r="A606" s="7"/>
      <c r="B606" s="7"/>
      <c r="C606" s="7"/>
      <c r="D606" s="8"/>
      <c r="E606" s="8"/>
      <c r="F606" s="8"/>
      <c r="G606" s="8"/>
      <c r="H606" s="10"/>
    </row>
    <row r="607" spans="1:8" ht="13">
      <c r="A607" s="7"/>
      <c r="B607" s="7"/>
      <c r="C607" s="7"/>
      <c r="D607" s="8"/>
      <c r="E607" s="8"/>
      <c r="F607" s="8"/>
      <c r="G607" s="8"/>
      <c r="H607" s="10"/>
    </row>
    <row r="608" spans="1:8" ht="13">
      <c r="A608" s="7"/>
      <c r="B608" s="7"/>
      <c r="C608" s="7"/>
      <c r="D608" s="8"/>
      <c r="E608" s="8"/>
      <c r="F608" s="8"/>
      <c r="G608" s="8"/>
      <c r="H608" s="10"/>
    </row>
    <row r="609" spans="1:8" ht="13">
      <c r="A609" s="7"/>
      <c r="B609" s="7"/>
      <c r="C609" s="7"/>
      <c r="D609" s="8"/>
      <c r="E609" s="8"/>
      <c r="F609" s="8"/>
      <c r="G609" s="8"/>
      <c r="H609" s="10"/>
    </row>
    <row r="610" spans="1:8" ht="13">
      <c r="A610" s="7"/>
      <c r="B610" s="7"/>
      <c r="C610" s="7"/>
      <c r="D610" s="8"/>
      <c r="E610" s="8"/>
      <c r="F610" s="8"/>
      <c r="G610" s="8"/>
      <c r="H610" s="10"/>
    </row>
    <row r="611" spans="1:8" ht="13">
      <c r="A611" s="7"/>
      <c r="B611" s="7"/>
      <c r="C611" s="7"/>
      <c r="D611" s="8"/>
      <c r="E611" s="8"/>
      <c r="F611" s="8"/>
      <c r="G611" s="8"/>
      <c r="H611" s="10"/>
    </row>
    <row r="612" spans="1:8" ht="13">
      <c r="A612" s="7"/>
      <c r="B612" s="7"/>
      <c r="C612" s="7"/>
      <c r="D612" s="8"/>
      <c r="E612" s="8"/>
      <c r="F612" s="8"/>
      <c r="G612" s="8"/>
      <c r="H612" s="10"/>
    </row>
    <row r="613" spans="1:8" ht="13">
      <c r="A613" s="7"/>
      <c r="B613" s="7"/>
      <c r="C613" s="7"/>
      <c r="D613" s="8"/>
      <c r="E613" s="8"/>
      <c r="F613" s="8"/>
      <c r="G613" s="8"/>
      <c r="H613" s="10"/>
    </row>
    <row r="614" spans="1:8" ht="13">
      <c r="A614" s="7"/>
      <c r="B614" s="7"/>
      <c r="C614" s="7"/>
      <c r="D614" s="8"/>
      <c r="E614" s="8"/>
      <c r="F614" s="8"/>
      <c r="G614" s="8"/>
      <c r="H614" s="10"/>
    </row>
    <row r="615" spans="1:8" ht="13">
      <c r="A615" s="7"/>
      <c r="B615" s="7"/>
      <c r="C615" s="7"/>
      <c r="D615" s="8"/>
      <c r="E615" s="8"/>
      <c r="F615" s="8"/>
      <c r="G615" s="8"/>
      <c r="H615" s="10"/>
    </row>
    <row r="616" spans="1:8" ht="13">
      <c r="A616" s="7"/>
      <c r="B616" s="7"/>
      <c r="C616" s="7"/>
      <c r="D616" s="8"/>
      <c r="E616" s="8"/>
      <c r="F616" s="8"/>
      <c r="G616" s="8"/>
      <c r="H616" s="10"/>
    </row>
    <row r="617" spans="1:8" ht="13">
      <c r="A617" s="7"/>
      <c r="B617" s="7"/>
      <c r="C617" s="7"/>
      <c r="D617" s="8"/>
      <c r="E617" s="8"/>
      <c r="F617" s="8"/>
      <c r="G617" s="8"/>
      <c r="H617" s="10"/>
    </row>
    <row r="618" spans="1:8" ht="13">
      <c r="A618" s="7"/>
      <c r="B618" s="7"/>
      <c r="C618" s="7"/>
      <c r="D618" s="8"/>
      <c r="E618" s="8"/>
      <c r="F618" s="8"/>
      <c r="G618" s="8"/>
      <c r="H618" s="10"/>
    </row>
    <row r="619" spans="1:8" ht="13">
      <c r="A619" s="7"/>
      <c r="B619" s="7"/>
      <c r="C619" s="7"/>
      <c r="D619" s="8"/>
      <c r="E619" s="8"/>
      <c r="F619" s="8"/>
      <c r="G619" s="8"/>
      <c r="H619" s="10"/>
    </row>
    <row r="620" spans="1:8" ht="13">
      <c r="A620" s="7"/>
      <c r="B620" s="7"/>
      <c r="C620" s="7"/>
      <c r="D620" s="8"/>
      <c r="E620" s="8"/>
      <c r="F620" s="8"/>
      <c r="G620" s="8"/>
      <c r="H620" s="10"/>
    </row>
    <row r="621" spans="1:8" ht="13">
      <c r="A621" s="7"/>
      <c r="B621" s="7"/>
      <c r="C621" s="7"/>
      <c r="D621" s="8"/>
      <c r="E621" s="8"/>
      <c r="F621" s="8"/>
      <c r="G621" s="8"/>
      <c r="H621" s="10"/>
    </row>
    <row r="622" spans="1:8" ht="13">
      <c r="A622" s="7"/>
      <c r="B622" s="7"/>
      <c r="C622" s="7"/>
      <c r="D622" s="8"/>
      <c r="E622" s="8"/>
      <c r="F622" s="8"/>
      <c r="G622" s="8"/>
      <c r="H622" s="10"/>
    </row>
    <row r="623" spans="1:8" ht="13">
      <c r="A623" s="7"/>
      <c r="B623" s="7"/>
      <c r="C623" s="7"/>
      <c r="D623" s="8"/>
      <c r="E623" s="8"/>
      <c r="F623" s="8"/>
      <c r="G623" s="8"/>
      <c r="H623" s="10"/>
    </row>
    <row r="624" spans="1:8" ht="13">
      <c r="A624" s="7"/>
      <c r="B624" s="7"/>
      <c r="C624" s="7"/>
      <c r="D624" s="8"/>
      <c r="E624" s="8"/>
      <c r="F624" s="8"/>
      <c r="G624" s="8"/>
      <c r="H624" s="10"/>
    </row>
    <row r="625" spans="1:8" ht="13">
      <c r="A625" s="7"/>
      <c r="B625" s="7"/>
      <c r="C625" s="7"/>
      <c r="D625" s="8"/>
      <c r="E625" s="8"/>
      <c r="F625" s="8"/>
      <c r="G625" s="8"/>
      <c r="H625" s="10"/>
    </row>
    <row r="626" spans="1:8" ht="13">
      <c r="A626" s="7"/>
      <c r="B626" s="7"/>
      <c r="C626" s="7"/>
      <c r="D626" s="8"/>
      <c r="E626" s="8"/>
      <c r="F626" s="8"/>
      <c r="G626" s="8"/>
      <c r="H626" s="10"/>
    </row>
    <row r="627" spans="1:8" ht="13">
      <c r="A627" s="7"/>
      <c r="B627" s="7"/>
      <c r="C627" s="7"/>
      <c r="D627" s="8"/>
      <c r="E627" s="8"/>
      <c r="F627" s="8"/>
      <c r="G627" s="8"/>
      <c r="H627" s="10"/>
    </row>
    <row r="628" spans="1:8" ht="13">
      <c r="A628" s="7"/>
      <c r="B628" s="7"/>
      <c r="C628" s="7"/>
      <c r="D628" s="8"/>
      <c r="E628" s="8"/>
      <c r="F628" s="8"/>
      <c r="G628" s="8"/>
      <c r="H628" s="10"/>
    </row>
    <row r="629" spans="1:8" ht="13">
      <c r="A629" s="7"/>
      <c r="B629" s="7"/>
      <c r="C629" s="7"/>
      <c r="D629" s="8"/>
      <c r="E629" s="8"/>
      <c r="F629" s="8"/>
      <c r="G629" s="8"/>
      <c r="H629" s="10"/>
    </row>
    <row r="630" spans="1:8" ht="13">
      <c r="A630" s="7"/>
      <c r="B630" s="7"/>
      <c r="C630" s="7"/>
      <c r="D630" s="8"/>
      <c r="E630" s="8"/>
      <c r="F630" s="8"/>
      <c r="G630" s="8"/>
      <c r="H630" s="10"/>
    </row>
    <row r="631" spans="1:8" ht="13">
      <c r="A631" s="7"/>
      <c r="B631" s="7"/>
      <c r="C631" s="7"/>
      <c r="D631" s="8"/>
      <c r="E631" s="8"/>
      <c r="F631" s="8"/>
      <c r="G631" s="8"/>
      <c r="H631" s="10"/>
    </row>
    <row r="632" spans="1:8" ht="13">
      <c r="A632" s="7"/>
      <c r="B632" s="7"/>
      <c r="C632" s="7"/>
      <c r="D632" s="8"/>
      <c r="E632" s="8"/>
      <c r="F632" s="8"/>
      <c r="G632" s="8"/>
      <c r="H632" s="10"/>
    </row>
    <row r="633" spans="1:8" ht="13">
      <c r="A633" s="7"/>
      <c r="B633" s="7"/>
      <c r="C633" s="7"/>
      <c r="D633" s="8"/>
      <c r="E633" s="8"/>
      <c r="F633" s="8"/>
      <c r="G633" s="8"/>
      <c r="H633" s="10"/>
    </row>
    <row r="634" spans="1:8" ht="13">
      <c r="A634" s="7"/>
      <c r="B634" s="7"/>
      <c r="C634" s="7"/>
      <c r="D634" s="8"/>
      <c r="E634" s="8"/>
      <c r="F634" s="8"/>
      <c r="G634" s="8"/>
      <c r="H634" s="10"/>
    </row>
    <row r="635" spans="1:8" ht="13">
      <c r="A635" s="7"/>
      <c r="B635" s="7"/>
      <c r="C635" s="7"/>
      <c r="D635" s="8"/>
      <c r="E635" s="8"/>
      <c r="F635" s="8"/>
      <c r="G635" s="8"/>
      <c r="H635" s="10"/>
    </row>
    <row r="636" spans="1:8" ht="13">
      <c r="A636" s="7"/>
      <c r="B636" s="7"/>
      <c r="C636" s="7"/>
      <c r="D636" s="8"/>
      <c r="E636" s="8"/>
      <c r="F636" s="8"/>
      <c r="G636" s="8"/>
      <c r="H636" s="10"/>
    </row>
    <row r="637" spans="1:8" ht="13">
      <c r="A637" s="7"/>
      <c r="B637" s="7"/>
      <c r="C637" s="7"/>
      <c r="D637" s="8"/>
      <c r="E637" s="8"/>
      <c r="F637" s="8"/>
      <c r="G637" s="8"/>
      <c r="H637" s="10"/>
    </row>
    <row r="638" spans="1:8" ht="13">
      <c r="A638" s="7"/>
      <c r="B638" s="7"/>
      <c r="C638" s="7"/>
      <c r="D638" s="8"/>
      <c r="E638" s="8"/>
      <c r="F638" s="8"/>
      <c r="G638" s="8"/>
      <c r="H638" s="10"/>
    </row>
    <row r="639" spans="1:8" ht="13">
      <c r="A639" s="7"/>
      <c r="B639" s="7"/>
      <c r="C639" s="7"/>
      <c r="D639" s="8"/>
      <c r="E639" s="8"/>
      <c r="F639" s="8"/>
      <c r="G639" s="8"/>
      <c r="H639" s="10"/>
    </row>
    <row r="640" spans="1:8" ht="13">
      <c r="A640" s="7"/>
      <c r="B640" s="7"/>
      <c r="C640" s="7"/>
      <c r="D640" s="8"/>
      <c r="E640" s="8"/>
      <c r="F640" s="8"/>
      <c r="G640" s="8"/>
      <c r="H640" s="10"/>
    </row>
    <row r="641" spans="1:8" ht="13">
      <c r="A641" s="7"/>
      <c r="B641" s="7"/>
      <c r="C641" s="7"/>
      <c r="D641" s="8"/>
      <c r="E641" s="8"/>
      <c r="F641" s="8"/>
      <c r="G641" s="8"/>
      <c r="H641" s="10"/>
    </row>
    <row r="642" spans="1:8" ht="13">
      <c r="A642" s="7"/>
      <c r="B642" s="7"/>
      <c r="C642" s="7"/>
      <c r="D642" s="8"/>
      <c r="E642" s="8"/>
      <c r="F642" s="8"/>
      <c r="G642" s="8"/>
      <c r="H642" s="10"/>
    </row>
    <row r="643" spans="1:8" ht="13">
      <c r="A643" s="7"/>
      <c r="B643" s="7"/>
      <c r="C643" s="7"/>
      <c r="D643" s="8"/>
      <c r="E643" s="8"/>
      <c r="F643" s="8"/>
      <c r="G643" s="8"/>
      <c r="H643" s="10"/>
    </row>
    <row r="644" spans="1:8" ht="13">
      <c r="A644" s="7"/>
      <c r="B644" s="7"/>
      <c r="C644" s="7"/>
      <c r="D644" s="8"/>
      <c r="E644" s="8"/>
      <c r="F644" s="8"/>
      <c r="G644" s="8"/>
      <c r="H644" s="10"/>
    </row>
    <row r="645" spans="1:8" ht="13">
      <c r="A645" s="7"/>
      <c r="B645" s="7"/>
      <c r="C645" s="7"/>
      <c r="D645" s="8"/>
      <c r="E645" s="8"/>
      <c r="F645" s="8"/>
      <c r="G645" s="8"/>
      <c r="H645" s="10"/>
    </row>
    <row r="646" spans="1:8" ht="13">
      <c r="A646" s="7"/>
      <c r="B646" s="7"/>
      <c r="C646" s="7"/>
      <c r="D646" s="8"/>
      <c r="E646" s="8"/>
      <c r="F646" s="8"/>
      <c r="G646" s="8"/>
      <c r="H646" s="10"/>
    </row>
    <row r="647" spans="1:8" ht="13">
      <c r="A647" s="7"/>
      <c r="B647" s="7"/>
      <c r="C647" s="7"/>
      <c r="D647" s="8"/>
      <c r="E647" s="8"/>
      <c r="F647" s="8"/>
      <c r="G647" s="8"/>
      <c r="H647" s="10"/>
    </row>
    <row r="648" spans="1:8" ht="13">
      <c r="A648" s="7"/>
      <c r="B648" s="7"/>
      <c r="C648" s="7"/>
      <c r="D648" s="8"/>
      <c r="E648" s="8"/>
      <c r="F648" s="8"/>
      <c r="G648" s="8"/>
      <c r="H648" s="10"/>
    </row>
    <row r="649" spans="1:8" ht="13">
      <c r="A649" s="7"/>
      <c r="B649" s="7"/>
      <c r="C649" s="7"/>
      <c r="D649" s="8"/>
      <c r="E649" s="8"/>
      <c r="F649" s="8"/>
      <c r="G649" s="8"/>
      <c r="H649" s="10"/>
    </row>
    <row r="650" spans="1:8" ht="13">
      <c r="A650" s="7"/>
      <c r="B650" s="7"/>
      <c r="C650" s="7"/>
      <c r="D650" s="8"/>
      <c r="E650" s="8"/>
      <c r="F650" s="8"/>
      <c r="G650" s="8"/>
      <c r="H650" s="10"/>
    </row>
    <row r="651" spans="1:8" ht="13">
      <c r="A651" s="7"/>
      <c r="B651" s="7"/>
      <c r="C651" s="7"/>
      <c r="D651" s="8"/>
      <c r="E651" s="8"/>
      <c r="F651" s="8"/>
      <c r="G651" s="8"/>
      <c r="H651" s="10"/>
    </row>
    <row r="652" spans="1:8" ht="13">
      <c r="A652" s="7"/>
      <c r="B652" s="7"/>
      <c r="C652" s="7"/>
      <c r="D652" s="8"/>
      <c r="E652" s="8"/>
      <c r="F652" s="8"/>
      <c r="G652" s="8"/>
      <c r="H652" s="10"/>
    </row>
    <row r="653" spans="1:8" ht="13">
      <c r="A653" s="7"/>
      <c r="B653" s="7"/>
      <c r="C653" s="7"/>
      <c r="D653" s="8"/>
      <c r="E653" s="8"/>
      <c r="F653" s="8"/>
      <c r="G653" s="8"/>
      <c r="H653" s="10"/>
    </row>
    <row r="654" spans="1:8" ht="13">
      <c r="A654" s="7"/>
      <c r="B654" s="7"/>
      <c r="C654" s="7"/>
      <c r="D654" s="8"/>
      <c r="E654" s="8"/>
      <c r="F654" s="8"/>
      <c r="G654" s="8"/>
      <c r="H654" s="10"/>
    </row>
    <row r="655" spans="1:8" ht="13">
      <c r="A655" s="7"/>
      <c r="B655" s="7"/>
      <c r="C655" s="7"/>
      <c r="D655" s="8"/>
      <c r="E655" s="8"/>
      <c r="F655" s="8"/>
      <c r="G655" s="8"/>
      <c r="H655" s="10"/>
    </row>
    <row r="656" spans="1:8" ht="13">
      <c r="A656" s="7"/>
      <c r="B656" s="7"/>
      <c r="C656" s="7"/>
      <c r="D656" s="8"/>
      <c r="E656" s="8"/>
      <c r="F656" s="8"/>
      <c r="G656" s="8"/>
      <c r="H656" s="10"/>
    </row>
    <row r="657" spans="1:8" ht="13">
      <c r="A657" s="7"/>
      <c r="B657" s="7"/>
      <c r="C657" s="7"/>
      <c r="D657" s="8"/>
      <c r="E657" s="8"/>
      <c r="F657" s="8"/>
      <c r="G657" s="8"/>
      <c r="H657" s="10"/>
    </row>
    <row r="658" spans="1:8" ht="13">
      <c r="A658" s="7"/>
      <c r="B658" s="7"/>
      <c r="C658" s="7"/>
      <c r="D658" s="8"/>
      <c r="E658" s="8"/>
      <c r="F658" s="8"/>
      <c r="G658" s="8"/>
      <c r="H658" s="10"/>
    </row>
    <row r="659" spans="1:8" ht="13">
      <c r="A659" s="7"/>
      <c r="B659" s="7"/>
      <c r="C659" s="7"/>
      <c r="D659" s="8"/>
      <c r="E659" s="8"/>
      <c r="F659" s="8"/>
      <c r="G659" s="8"/>
      <c r="H659" s="10"/>
    </row>
    <row r="660" spans="1:8" ht="13">
      <c r="A660" s="7"/>
      <c r="B660" s="7"/>
      <c r="C660" s="7"/>
      <c r="D660" s="8"/>
      <c r="E660" s="8"/>
      <c r="F660" s="8"/>
      <c r="G660" s="8"/>
      <c r="H660" s="10"/>
    </row>
    <row r="661" spans="1:8" ht="13">
      <c r="A661" s="7"/>
      <c r="B661" s="7"/>
      <c r="C661" s="7"/>
      <c r="D661" s="8"/>
      <c r="E661" s="8"/>
      <c r="F661" s="8"/>
      <c r="G661" s="8"/>
      <c r="H661" s="10"/>
    </row>
    <row r="662" spans="1:8" ht="13">
      <c r="A662" s="7"/>
      <c r="B662" s="7"/>
      <c r="C662" s="7"/>
      <c r="D662" s="8"/>
      <c r="E662" s="8"/>
      <c r="F662" s="8"/>
      <c r="G662" s="8"/>
      <c r="H662" s="10"/>
    </row>
    <row r="663" spans="1:8" ht="13">
      <c r="A663" s="7"/>
      <c r="B663" s="7"/>
      <c r="C663" s="7"/>
      <c r="D663" s="8"/>
      <c r="E663" s="8"/>
      <c r="F663" s="8"/>
      <c r="G663" s="8"/>
      <c r="H663" s="10"/>
    </row>
    <row r="664" spans="1:8" ht="13">
      <c r="A664" s="7"/>
      <c r="B664" s="7"/>
      <c r="C664" s="7"/>
      <c r="D664" s="8"/>
      <c r="E664" s="8"/>
      <c r="F664" s="8"/>
      <c r="G664" s="8"/>
      <c r="H664" s="10"/>
    </row>
    <row r="665" spans="1:8" ht="13">
      <c r="A665" s="7"/>
      <c r="B665" s="7"/>
      <c r="C665" s="7"/>
      <c r="D665" s="8"/>
      <c r="E665" s="8"/>
      <c r="F665" s="8"/>
      <c r="G665" s="8"/>
      <c r="H665" s="10"/>
    </row>
    <row r="666" spans="1:8" ht="13">
      <c r="A666" s="7"/>
      <c r="B666" s="7"/>
      <c r="C666" s="7"/>
      <c r="D666" s="8"/>
      <c r="E666" s="8"/>
      <c r="F666" s="8"/>
      <c r="G666" s="8"/>
      <c r="H666" s="10"/>
    </row>
    <row r="667" spans="1:8" ht="13">
      <c r="A667" s="7"/>
      <c r="B667" s="7"/>
      <c r="C667" s="7"/>
      <c r="D667" s="8"/>
      <c r="E667" s="8"/>
      <c r="F667" s="8"/>
      <c r="G667" s="8"/>
      <c r="H667" s="10"/>
    </row>
    <row r="668" spans="1:8" ht="13">
      <c r="A668" s="7"/>
      <c r="B668" s="7"/>
      <c r="C668" s="7"/>
      <c r="D668" s="8"/>
      <c r="E668" s="8"/>
      <c r="F668" s="8"/>
      <c r="G668" s="8"/>
      <c r="H668" s="10"/>
    </row>
    <row r="669" spans="1:8" ht="13">
      <c r="A669" s="7"/>
      <c r="B669" s="7"/>
      <c r="C669" s="7"/>
      <c r="D669" s="8"/>
      <c r="E669" s="8"/>
      <c r="F669" s="8"/>
      <c r="G669" s="8"/>
      <c r="H669" s="10"/>
    </row>
    <row r="670" spans="1:8" ht="13">
      <c r="A670" s="7"/>
      <c r="B670" s="7"/>
      <c r="C670" s="7"/>
      <c r="D670" s="8"/>
      <c r="E670" s="8"/>
      <c r="F670" s="8"/>
      <c r="G670" s="8"/>
      <c r="H670" s="10"/>
    </row>
    <row r="671" spans="1:8" ht="13">
      <c r="A671" s="7"/>
      <c r="B671" s="7"/>
      <c r="C671" s="7"/>
      <c r="D671" s="8"/>
      <c r="E671" s="8"/>
      <c r="F671" s="8"/>
      <c r="G671" s="8"/>
      <c r="H671" s="10"/>
    </row>
    <row r="672" spans="1:8" ht="13">
      <c r="A672" s="7"/>
      <c r="B672" s="7"/>
      <c r="C672" s="7"/>
      <c r="D672" s="8"/>
      <c r="E672" s="8"/>
      <c r="F672" s="8"/>
      <c r="G672" s="8"/>
      <c r="H672" s="10"/>
    </row>
    <row r="673" spans="1:8" ht="13">
      <c r="A673" s="7"/>
      <c r="B673" s="7"/>
      <c r="C673" s="7"/>
      <c r="D673" s="8"/>
      <c r="E673" s="8"/>
      <c r="F673" s="8"/>
      <c r="G673" s="8"/>
      <c r="H673" s="10"/>
    </row>
    <row r="674" spans="1:8" ht="13">
      <c r="A674" s="7"/>
      <c r="B674" s="7"/>
      <c r="C674" s="7"/>
      <c r="D674" s="8"/>
      <c r="E674" s="8"/>
      <c r="F674" s="8"/>
      <c r="G674" s="8"/>
      <c r="H674" s="10"/>
    </row>
    <row r="675" spans="1:8" ht="13">
      <c r="A675" s="7"/>
      <c r="B675" s="7"/>
      <c r="C675" s="7"/>
      <c r="D675" s="8"/>
      <c r="E675" s="8"/>
      <c r="F675" s="8"/>
      <c r="G675" s="8"/>
      <c r="H675" s="10"/>
    </row>
    <row r="676" spans="1:8" ht="13">
      <c r="A676" s="7"/>
      <c r="B676" s="7"/>
      <c r="C676" s="7"/>
      <c r="D676" s="8"/>
      <c r="E676" s="8"/>
      <c r="F676" s="8"/>
      <c r="G676" s="8"/>
      <c r="H676" s="10"/>
    </row>
    <row r="677" spans="1:8" ht="13">
      <c r="A677" s="7"/>
      <c r="B677" s="7"/>
      <c r="C677" s="7"/>
      <c r="D677" s="8"/>
      <c r="E677" s="8"/>
      <c r="F677" s="8"/>
      <c r="G677" s="8"/>
      <c r="H677" s="10"/>
    </row>
    <row r="678" spans="1:8" ht="13">
      <c r="A678" s="7"/>
      <c r="B678" s="7"/>
      <c r="C678" s="7"/>
      <c r="D678" s="8"/>
      <c r="E678" s="8"/>
      <c r="F678" s="8"/>
      <c r="G678" s="8"/>
      <c r="H678" s="10"/>
    </row>
    <row r="679" spans="1:8" ht="13">
      <c r="A679" s="7"/>
      <c r="B679" s="7"/>
      <c r="C679" s="7"/>
      <c r="D679" s="8"/>
      <c r="E679" s="8"/>
      <c r="F679" s="8"/>
      <c r="G679" s="8"/>
      <c r="H679" s="10"/>
    </row>
    <row r="680" spans="1:8" ht="13">
      <c r="A680" s="7"/>
      <c r="B680" s="7"/>
      <c r="C680" s="7"/>
      <c r="D680" s="8"/>
      <c r="E680" s="8"/>
      <c r="F680" s="8"/>
      <c r="G680" s="8"/>
      <c r="H680" s="10"/>
    </row>
    <row r="681" spans="1:8" ht="13">
      <c r="A681" s="7"/>
      <c r="B681" s="7"/>
      <c r="C681" s="7"/>
      <c r="D681" s="8"/>
      <c r="E681" s="8"/>
      <c r="F681" s="8"/>
      <c r="G681" s="8"/>
      <c r="H681" s="10"/>
    </row>
    <row r="682" spans="1:8" ht="13">
      <c r="A682" s="7"/>
      <c r="B682" s="7"/>
      <c r="C682" s="7"/>
      <c r="D682" s="8"/>
      <c r="E682" s="8"/>
      <c r="F682" s="8"/>
      <c r="G682" s="8"/>
      <c r="H682" s="10"/>
    </row>
    <row r="683" spans="1:8" ht="13">
      <c r="A683" s="7"/>
      <c r="B683" s="7"/>
      <c r="C683" s="7"/>
      <c r="D683" s="8"/>
      <c r="E683" s="8"/>
      <c r="F683" s="8"/>
      <c r="G683" s="8"/>
      <c r="H683" s="10"/>
    </row>
    <row r="684" spans="1:8" ht="13">
      <c r="A684" s="7"/>
      <c r="B684" s="7"/>
      <c r="C684" s="7"/>
      <c r="D684" s="8"/>
      <c r="E684" s="8"/>
      <c r="F684" s="8"/>
      <c r="G684" s="8"/>
      <c r="H684" s="10"/>
    </row>
    <row r="685" spans="1:8" ht="13">
      <c r="A685" s="7"/>
      <c r="B685" s="7"/>
      <c r="C685" s="7"/>
      <c r="D685" s="8"/>
      <c r="E685" s="8"/>
      <c r="F685" s="8"/>
      <c r="G685" s="8"/>
      <c r="H685" s="10"/>
    </row>
    <row r="686" spans="1:8" ht="13">
      <c r="A686" s="7"/>
      <c r="B686" s="7"/>
      <c r="C686" s="7"/>
      <c r="D686" s="8"/>
      <c r="E686" s="8"/>
      <c r="F686" s="8"/>
      <c r="G686" s="8"/>
      <c r="H686" s="10"/>
    </row>
    <row r="687" spans="1:8" ht="13">
      <c r="A687" s="7"/>
      <c r="B687" s="7"/>
      <c r="C687" s="7"/>
      <c r="D687" s="8"/>
      <c r="E687" s="8"/>
      <c r="F687" s="8"/>
      <c r="G687" s="8"/>
      <c r="H687" s="10"/>
    </row>
    <row r="688" spans="1:8" ht="13">
      <c r="A688" s="7"/>
      <c r="B688" s="7"/>
      <c r="C688" s="7"/>
      <c r="D688" s="8"/>
      <c r="E688" s="8"/>
      <c r="F688" s="8"/>
      <c r="G688" s="8"/>
      <c r="H688" s="10"/>
    </row>
    <row r="689" spans="1:8" ht="13">
      <c r="A689" s="7"/>
      <c r="B689" s="7"/>
      <c r="C689" s="7"/>
      <c r="D689" s="8"/>
      <c r="E689" s="8"/>
      <c r="F689" s="8"/>
      <c r="G689" s="8"/>
      <c r="H689" s="10"/>
    </row>
    <row r="690" spans="1:8" ht="13">
      <c r="A690" s="7"/>
      <c r="B690" s="7"/>
      <c r="C690" s="7"/>
      <c r="D690" s="8"/>
      <c r="E690" s="8"/>
      <c r="F690" s="8"/>
      <c r="G690" s="8"/>
      <c r="H690" s="10"/>
    </row>
    <row r="691" spans="1:8" ht="13">
      <c r="A691" s="7"/>
      <c r="B691" s="7"/>
      <c r="C691" s="7"/>
      <c r="D691" s="8"/>
      <c r="E691" s="8"/>
      <c r="F691" s="8"/>
      <c r="G691" s="8"/>
      <c r="H691" s="10"/>
    </row>
    <row r="692" spans="1:8" ht="13">
      <c r="A692" s="7"/>
      <c r="B692" s="7"/>
      <c r="C692" s="7"/>
      <c r="D692" s="8"/>
      <c r="E692" s="8"/>
      <c r="F692" s="8"/>
      <c r="G692" s="8"/>
      <c r="H692" s="10"/>
    </row>
    <row r="693" spans="1:8" ht="13">
      <c r="A693" s="7"/>
      <c r="B693" s="7"/>
      <c r="C693" s="7"/>
      <c r="D693" s="8"/>
      <c r="E693" s="8"/>
      <c r="F693" s="8"/>
      <c r="G693" s="8"/>
      <c r="H693" s="10"/>
    </row>
    <row r="694" spans="1:8" ht="13">
      <c r="A694" s="7"/>
      <c r="B694" s="7"/>
      <c r="C694" s="7"/>
      <c r="D694" s="8"/>
      <c r="E694" s="8"/>
      <c r="F694" s="8"/>
      <c r="G694" s="8"/>
      <c r="H694" s="10"/>
    </row>
    <row r="695" spans="1:8" ht="13">
      <c r="A695" s="7"/>
      <c r="B695" s="7"/>
      <c r="C695" s="7"/>
      <c r="D695" s="8"/>
      <c r="E695" s="8"/>
      <c r="F695" s="8"/>
      <c r="G695" s="8"/>
      <c r="H695" s="10"/>
    </row>
    <row r="696" spans="1:8" ht="13">
      <c r="A696" s="7"/>
      <c r="B696" s="7"/>
      <c r="C696" s="7"/>
      <c r="D696" s="8"/>
      <c r="E696" s="8"/>
      <c r="F696" s="8"/>
      <c r="G696" s="8"/>
      <c r="H696" s="10"/>
    </row>
    <row r="697" spans="1:8" ht="13">
      <c r="A697" s="7"/>
      <c r="B697" s="7"/>
      <c r="C697" s="7"/>
      <c r="D697" s="8"/>
      <c r="E697" s="8"/>
      <c r="F697" s="8"/>
      <c r="G697" s="8"/>
      <c r="H697" s="10"/>
    </row>
    <row r="698" spans="1:8" ht="13">
      <c r="A698" s="7"/>
      <c r="B698" s="7"/>
      <c r="C698" s="7"/>
      <c r="D698" s="8"/>
      <c r="E698" s="8"/>
      <c r="F698" s="8"/>
      <c r="G698" s="8"/>
      <c r="H698" s="10"/>
    </row>
    <row r="699" spans="1:8" ht="13">
      <c r="A699" s="7"/>
      <c r="B699" s="7"/>
      <c r="C699" s="7"/>
      <c r="D699" s="8"/>
      <c r="E699" s="8"/>
      <c r="F699" s="8"/>
      <c r="G699" s="8"/>
      <c r="H699" s="10"/>
    </row>
    <row r="700" spans="1:8" ht="13">
      <c r="A700" s="7"/>
      <c r="B700" s="7"/>
      <c r="C700" s="7"/>
      <c r="D700" s="8"/>
      <c r="E700" s="8"/>
      <c r="F700" s="8"/>
      <c r="G700" s="8"/>
      <c r="H700" s="10"/>
    </row>
    <row r="701" spans="1:8" ht="13">
      <c r="A701" s="7"/>
      <c r="B701" s="7"/>
      <c r="C701" s="7"/>
      <c r="D701" s="8"/>
      <c r="E701" s="8"/>
      <c r="F701" s="8"/>
      <c r="G701" s="8"/>
      <c r="H701" s="10"/>
    </row>
    <row r="702" spans="1:8" ht="13">
      <c r="A702" s="7"/>
      <c r="B702" s="7"/>
      <c r="C702" s="7"/>
      <c r="D702" s="8"/>
      <c r="E702" s="8"/>
      <c r="F702" s="8"/>
      <c r="G702" s="8"/>
      <c r="H702" s="10"/>
    </row>
    <row r="703" spans="1:8" ht="13">
      <c r="A703" s="7"/>
      <c r="B703" s="7"/>
      <c r="C703" s="7"/>
      <c r="D703" s="8"/>
      <c r="E703" s="8"/>
      <c r="F703" s="8"/>
      <c r="G703" s="8"/>
      <c r="H703" s="10"/>
    </row>
    <row r="704" spans="1:8" ht="13">
      <c r="A704" s="7"/>
      <c r="B704" s="7"/>
      <c r="C704" s="7"/>
      <c r="D704" s="8"/>
      <c r="E704" s="8"/>
      <c r="F704" s="8"/>
      <c r="G704" s="8"/>
      <c r="H704" s="10"/>
    </row>
    <row r="705" spans="1:8" ht="13">
      <c r="A705" s="7"/>
      <c r="B705" s="7"/>
      <c r="C705" s="7"/>
      <c r="D705" s="8"/>
      <c r="E705" s="8"/>
      <c r="F705" s="8"/>
      <c r="G705" s="8"/>
      <c r="H705" s="10"/>
    </row>
    <row r="706" spans="1:8" ht="13">
      <c r="A706" s="7"/>
      <c r="B706" s="7"/>
      <c r="C706" s="7"/>
      <c r="D706" s="8"/>
      <c r="E706" s="8"/>
      <c r="F706" s="8"/>
      <c r="G706" s="8"/>
      <c r="H706" s="10"/>
    </row>
    <row r="707" spans="1:8" ht="13">
      <c r="A707" s="7"/>
      <c r="B707" s="7"/>
      <c r="C707" s="7"/>
      <c r="D707" s="8"/>
      <c r="E707" s="8"/>
      <c r="F707" s="8"/>
      <c r="G707" s="8"/>
      <c r="H707" s="10"/>
    </row>
    <row r="708" spans="1:8" ht="13">
      <c r="A708" s="7"/>
      <c r="B708" s="7"/>
      <c r="C708" s="7"/>
      <c r="D708" s="8"/>
      <c r="E708" s="8"/>
      <c r="F708" s="8"/>
      <c r="G708" s="8"/>
      <c r="H708" s="10"/>
    </row>
    <row r="709" spans="1:8" ht="13">
      <c r="A709" s="7"/>
      <c r="B709" s="7"/>
      <c r="C709" s="7"/>
      <c r="D709" s="8"/>
      <c r="E709" s="8"/>
      <c r="F709" s="8"/>
      <c r="G709" s="8"/>
      <c r="H709" s="10"/>
    </row>
    <row r="710" spans="1:8" ht="13">
      <c r="A710" s="7"/>
      <c r="B710" s="7"/>
      <c r="C710" s="7"/>
      <c r="D710" s="8"/>
      <c r="E710" s="8"/>
      <c r="F710" s="8"/>
      <c r="G710" s="8"/>
      <c r="H710" s="10"/>
    </row>
    <row r="711" spans="1:8" ht="13">
      <c r="A711" s="7"/>
      <c r="B711" s="7"/>
      <c r="C711" s="7"/>
      <c r="D711" s="8"/>
      <c r="E711" s="8"/>
      <c r="F711" s="8"/>
      <c r="G711" s="8"/>
      <c r="H711" s="10"/>
    </row>
    <row r="712" spans="1:8" ht="13">
      <c r="A712" s="7"/>
      <c r="B712" s="7"/>
      <c r="C712" s="7"/>
      <c r="D712" s="8"/>
      <c r="E712" s="8"/>
      <c r="F712" s="8"/>
      <c r="G712" s="8"/>
      <c r="H712" s="10"/>
    </row>
    <row r="713" spans="1:8" ht="13">
      <c r="A713" s="7"/>
      <c r="B713" s="7"/>
      <c r="C713" s="7"/>
      <c r="D713" s="8"/>
      <c r="E713" s="8"/>
      <c r="F713" s="8"/>
      <c r="G713" s="8"/>
      <c r="H713" s="10"/>
    </row>
    <row r="714" spans="1:8" ht="13">
      <c r="A714" s="7"/>
      <c r="B714" s="7"/>
      <c r="C714" s="7"/>
      <c r="D714" s="8"/>
      <c r="E714" s="8"/>
      <c r="F714" s="8"/>
      <c r="G714" s="8"/>
      <c r="H714" s="10"/>
    </row>
    <row r="715" spans="1:8" ht="13">
      <c r="A715" s="7"/>
      <c r="B715" s="7"/>
      <c r="C715" s="7"/>
      <c r="D715" s="8"/>
      <c r="E715" s="8"/>
      <c r="F715" s="8"/>
      <c r="G715" s="8"/>
      <c r="H715" s="10"/>
    </row>
    <row r="716" spans="1:8" ht="13">
      <c r="A716" s="7"/>
      <c r="B716" s="7"/>
      <c r="C716" s="7"/>
      <c r="D716" s="8"/>
      <c r="E716" s="8"/>
      <c r="F716" s="8"/>
      <c r="G716" s="8"/>
      <c r="H716" s="10"/>
    </row>
    <row r="717" spans="1:8" ht="13">
      <c r="A717" s="7"/>
      <c r="B717" s="7"/>
      <c r="C717" s="7"/>
      <c r="D717" s="8"/>
      <c r="E717" s="8"/>
      <c r="F717" s="8"/>
      <c r="G717" s="8"/>
      <c r="H717" s="10"/>
    </row>
    <row r="718" spans="1:8" ht="13">
      <c r="A718" s="7"/>
      <c r="B718" s="7"/>
      <c r="C718" s="7"/>
      <c r="D718" s="8"/>
      <c r="E718" s="8"/>
      <c r="F718" s="8"/>
      <c r="G718" s="8"/>
      <c r="H718" s="10"/>
    </row>
    <row r="719" spans="1:8" ht="13">
      <c r="A719" s="7"/>
      <c r="B719" s="7"/>
      <c r="C719" s="7"/>
      <c r="D719" s="8"/>
      <c r="E719" s="8"/>
      <c r="F719" s="8"/>
      <c r="G719" s="8"/>
      <c r="H719" s="10"/>
    </row>
    <row r="720" spans="1:8" ht="13">
      <c r="A720" s="7"/>
      <c r="B720" s="7"/>
      <c r="C720" s="7"/>
      <c r="D720" s="8"/>
      <c r="E720" s="8"/>
      <c r="F720" s="8"/>
      <c r="G720" s="8"/>
      <c r="H720" s="10"/>
    </row>
    <row r="721" spans="1:8" ht="13">
      <c r="A721" s="7"/>
      <c r="B721" s="7"/>
      <c r="C721" s="7"/>
      <c r="D721" s="8"/>
      <c r="E721" s="8"/>
      <c r="F721" s="8"/>
      <c r="G721" s="8"/>
      <c r="H721" s="10"/>
    </row>
    <row r="722" spans="1:8" ht="13">
      <c r="A722" s="7"/>
      <c r="B722" s="7"/>
      <c r="C722" s="7"/>
      <c r="D722" s="8"/>
      <c r="E722" s="8"/>
      <c r="F722" s="8"/>
      <c r="G722" s="8"/>
      <c r="H722" s="10"/>
    </row>
    <row r="723" spans="1:8" ht="13">
      <c r="A723" s="7"/>
      <c r="B723" s="7"/>
      <c r="C723" s="7"/>
      <c r="D723" s="8"/>
      <c r="E723" s="8"/>
      <c r="F723" s="8"/>
      <c r="G723" s="8"/>
      <c r="H723" s="10"/>
    </row>
    <row r="724" spans="1:8" ht="13">
      <c r="A724" s="7"/>
      <c r="B724" s="7"/>
      <c r="C724" s="7"/>
      <c r="D724" s="8"/>
      <c r="E724" s="8"/>
      <c r="F724" s="8"/>
      <c r="G724" s="8"/>
      <c r="H724" s="10"/>
    </row>
    <row r="725" spans="1:8" ht="13">
      <c r="A725" s="7"/>
      <c r="B725" s="7"/>
      <c r="C725" s="7"/>
      <c r="D725" s="8"/>
      <c r="E725" s="8"/>
      <c r="F725" s="8"/>
      <c r="G725" s="8"/>
      <c r="H725" s="10"/>
    </row>
    <row r="726" spans="1:8" ht="13">
      <c r="A726" s="7"/>
      <c r="B726" s="7"/>
      <c r="C726" s="7"/>
      <c r="D726" s="8"/>
      <c r="E726" s="8"/>
      <c r="F726" s="8"/>
      <c r="G726" s="8"/>
      <c r="H726" s="10"/>
    </row>
    <row r="727" spans="1:8" ht="13">
      <c r="A727" s="7"/>
      <c r="B727" s="7"/>
      <c r="C727" s="7"/>
      <c r="D727" s="8"/>
      <c r="E727" s="8"/>
      <c r="F727" s="8"/>
      <c r="G727" s="8"/>
      <c r="H727" s="10"/>
    </row>
    <row r="728" spans="1:8" ht="13">
      <c r="A728" s="7"/>
      <c r="B728" s="7"/>
      <c r="C728" s="7"/>
      <c r="D728" s="8"/>
      <c r="E728" s="8"/>
      <c r="F728" s="8"/>
      <c r="G728" s="8"/>
      <c r="H728" s="10"/>
    </row>
    <row r="729" spans="1:8" ht="13">
      <c r="A729" s="7"/>
      <c r="B729" s="7"/>
      <c r="C729" s="7"/>
      <c r="D729" s="8"/>
      <c r="E729" s="8"/>
      <c r="F729" s="8"/>
      <c r="G729" s="8"/>
      <c r="H729" s="10"/>
    </row>
    <row r="730" spans="1:8" ht="13">
      <c r="A730" s="7"/>
      <c r="B730" s="7"/>
      <c r="C730" s="7"/>
      <c r="D730" s="8"/>
      <c r="E730" s="8"/>
      <c r="F730" s="8"/>
      <c r="G730" s="8"/>
      <c r="H730" s="10"/>
    </row>
    <row r="731" spans="1:8" ht="13">
      <c r="A731" s="7"/>
      <c r="B731" s="7"/>
      <c r="C731" s="7"/>
      <c r="D731" s="8"/>
      <c r="E731" s="8"/>
      <c r="F731" s="8"/>
      <c r="G731" s="8"/>
      <c r="H731" s="10"/>
    </row>
    <row r="732" spans="1:8" ht="13">
      <c r="A732" s="7"/>
      <c r="B732" s="7"/>
      <c r="C732" s="7"/>
      <c r="D732" s="8"/>
      <c r="E732" s="8"/>
      <c r="F732" s="8"/>
      <c r="G732" s="8"/>
      <c r="H732" s="10"/>
    </row>
    <row r="733" spans="1:8" ht="13">
      <c r="A733" s="7"/>
      <c r="B733" s="7"/>
      <c r="C733" s="7"/>
      <c r="D733" s="8"/>
      <c r="E733" s="8"/>
      <c r="F733" s="8"/>
      <c r="G733" s="8"/>
      <c r="H733" s="10"/>
    </row>
    <row r="734" spans="1:8" ht="13">
      <c r="A734" s="7"/>
      <c r="B734" s="7"/>
      <c r="C734" s="7"/>
      <c r="D734" s="8"/>
      <c r="E734" s="8"/>
      <c r="F734" s="8"/>
      <c r="G734" s="8"/>
      <c r="H734" s="10"/>
    </row>
    <row r="735" spans="1:8" ht="13">
      <c r="A735" s="7"/>
      <c r="B735" s="7"/>
      <c r="C735" s="7"/>
      <c r="D735" s="8"/>
      <c r="E735" s="8"/>
      <c r="F735" s="8"/>
      <c r="G735" s="8"/>
      <c r="H735" s="10"/>
    </row>
    <row r="736" spans="1:8" ht="13">
      <c r="A736" s="7"/>
      <c r="B736" s="7"/>
      <c r="C736" s="7"/>
      <c r="D736" s="8"/>
      <c r="E736" s="8"/>
      <c r="F736" s="8"/>
      <c r="G736" s="8"/>
      <c r="H736" s="10"/>
    </row>
    <row r="737" spans="1:8" ht="13">
      <c r="A737" s="7"/>
      <c r="B737" s="7"/>
      <c r="C737" s="7"/>
      <c r="D737" s="8"/>
      <c r="E737" s="8"/>
      <c r="F737" s="8"/>
      <c r="G737" s="8"/>
      <c r="H737" s="10"/>
    </row>
    <row r="738" spans="1:8" ht="13">
      <c r="A738" s="7"/>
      <c r="B738" s="7"/>
      <c r="C738" s="7"/>
      <c r="D738" s="8"/>
      <c r="E738" s="8"/>
      <c r="F738" s="8"/>
      <c r="G738" s="8"/>
      <c r="H738" s="10"/>
    </row>
    <row r="739" spans="1:8" ht="13">
      <c r="A739" s="7"/>
      <c r="B739" s="7"/>
      <c r="C739" s="7"/>
      <c r="D739" s="8"/>
      <c r="E739" s="8"/>
      <c r="F739" s="8"/>
      <c r="G739" s="8"/>
      <c r="H739" s="10"/>
    </row>
    <row r="740" spans="1:8" ht="13">
      <c r="A740" s="7"/>
      <c r="B740" s="7"/>
      <c r="C740" s="7"/>
      <c r="D740" s="8"/>
      <c r="E740" s="8"/>
      <c r="F740" s="8"/>
      <c r="G740" s="8"/>
      <c r="H740" s="10"/>
    </row>
    <row r="741" spans="1:8" ht="13">
      <c r="A741" s="7"/>
      <c r="B741" s="7"/>
      <c r="C741" s="7"/>
      <c r="D741" s="8"/>
      <c r="E741" s="8"/>
      <c r="F741" s="8"/>
      <c r="G741" s="8"/>
      <c r="H741" s="10"/>
    </row>
    <row r="742" spans="1:8" ht="13">
      <c r="A742" s="7"/>
      <c r="B742" s="7"/>
      <c r="C742" s="7"/>
      <c r="D742" s="8"/>
      <c r="E742" s="8"/>
      <c r="F742" s="8"/>
      <c r="G742" s="8"/>
      <c r="H742" s="10"/>
    </row>
    <row r="743" spans="1:8" ht="13">
      <c r="A743" s="7"/>
      <c r="B743" s="7"/>
      <c r="C743" s="7"/>
      <c r="D743" s="8"/>
      <c r="E743" s="8"/>
      <c r="F743" s="8"/>
      <c r="G743" s="8"/>
      <c r="H743" s="10"/>
    </row>
    <row r="744" spans="1:8" ht="13">
      <c r="A744" s="7"/>
      <c r="B744" s="7"/>
      <c r="C744" s="7"/>
      <c r="D744" s="8"/>
      <c r="E744" s="8"/>
      <c r="F744" s="8"/>
      <c r="G744" s="8"/>
      <c r="H744" s="10"/>
    </row>
    <row r="745" spans="1:8" ht="13">
      <c r="A745" s="7"/>
      <c r="B745" s="7"/>
      <c r="C745" s="7"/>
      <c r="D745" s="8"/>
      <c r="E745" s="8"/>
      <c r="F745" s="8"/>
      <c r="G745" s="8"/>
      <c r="H745" s="10"/>
    </row>
    <row r="746" spans="1:8" ht="13">
      <c r="A746" s="7"/>
      <c r="B746" s="7"/>
      <c r="C746" s="7"/>
      <c r="D746" s="8"/>
      <c r="E746" s="8"/>
      <c r="F746" s="8"/>
      <c r="G746" s="8"/>
      <c r="H746" s="10"/>
    </row>
    <row r="747" spans="1:8" ht="13">
      <c r="A747" s="7"/>
      <c r="B747" s="7"/>
      <c r="C747" s="7"/>
      <c r="D747" s="8"/>
      <c r="E747" s="8"/>
      <c r="F747" s="8"/>
      <c r="G747" s="8"/>
      <c r="H747" s="10"/>
    </row>
    <row r="748" spans="1:8" ht="13">
      <c r="A748" s="7"/>
      <c r="B748" s="7"/>
      <c r="C748" s="7"/>
      <c r="D748" s="8"/>
      <c r="E748" s="8"/>
      <c r="F748" s="8"/>
      <c r="G748" s="8"/>
      <c r="H748" s="10"/>
    </row>
    <row r="749" spans="1:8" ht="13">
      <c r="A749" s="7"/>
      <c r="B749" s="7"/>
      <c r="C749" s="7"/>
      <c r="D749" s="8"/>
      <c r="E749" s="8"/>
      <c r="F749" s="8"/>
      <c r="G749" s="8"/>
      <c r="H749" s="10"/>
    </row>
    <row r="750" spans="1:8" ht="13">
      <c r="A750" s="7"/>
      <c r="B750" s="7"/>
      <c r="C750" s="7"/>
      <c r="D750" s="8"/>
      <c r="E750" s="8"/>
      <c r="F750" s="8"/>
      <c r="G750" s="8"/>
      <c r="H750" s="10"/>
    </row>
    <row r="751" spans="1:8" ht="13">
      <c r="A751" s="7"/>
      <c r="B751" s="7"/>
      <c r="C751" s="7"/>
      <c r="D751" s="8"/>
      <c r="E751" s="8"/>
      <c r="F751" s="8"/>
      <c r="G751" s="8"/>
      <c r="H751" s="10"/>
    </row>
    <row r="752" spans="1:8" ht="13">
      <c r="A752" s="7"/>
      <c r="B752" s="7"/>
      <c r="C752" s="7"/>
      <c r="D752" s="8"/>
      <c r="E752" s="8"/>
      <c r="F752" s="8"/>
      <c r="G752" s="8"/>
      <c r="H752" s="10"/>
    </row>
    <row r="753" spans="1:8" ht="13">
      <c r="A753" s="7"/>
      <c r="B753" s="7"/>
      <c r="C753" s="7"/>
      <c r="D753" s="8"/>
      <c r="E753" s="8"/>
      <c r="F753" s="8"/>
      <c r="G753" s="8"/>
      <c r="H753" s="10"/>
    </row>
    <row r="754" spans="1:8" ht="13">
      <c r="A754" s="7"/>
      <c r="B754" s="7"/>
      <c r="C754" s="7"/>
      <c r="D754" s="8"/>
      <c r="E754" s="8"/>
      <c r="F754" s="8"/>
      <c r="G754" s="8"/>
      <c r="H754" s="10"/>
    </row>
    <row r="755" spans="1:8" ht="13">
      <c r="A755" s="7"/>
      <c r="B755" s="7"/>
      <c r="C755" s="7"/>
      <c r="D755" s="8"/>
      <c r="E755" s="8"/>
      <c r="F755" s="8"/>
      <c r="G755" s="8"/>
      <c r="H755" s="10"/>
    </row>
    <row r="756" spans="1:8" ht="13">
      <c r="A756" s="7"/>
      <c r="B756" s="7"/>
      <c r="C756" s="7"/>
      <c r="D756" s="8"/>
      <c r="E756" s="8"/>
      <c r="F756" s="8"/>
      <c r="G756" s="8"/>
      <c r="H756" s="10"/>
    </row>
    <row r="757" spans="1:8" ht="13">
      <c r="A757" s="7"/>
      <c r="B757" s="7"/>
      <c r="C757" s="7"/>
      <c r="D757" s="8"/>
      <c r="E757" s="8"/>
      <c r="F757" s="8"/>
      <c r="G757" s="8"/>
      <c r="H757" s="10"/>
    </row>
    <row r="758" spans="1:8" ht="13">
      <c r="A758" s="7"/>
      <c r="B758" s="7"/>
      <c r="C758" s="7"/>
      <c r="D758" s="8"/>
      <c r="E758" s="8"/>
      <c r="F758" s="8"/>
      <c r="G758" s="8"/>
      <c r="H758" s="10"/>
    </row>
    <row r="759" spans="1:8" ht="13">
      <c r="A759" s="7"/>
      <c r="B759" s="7"/>
      <c r="C759" s="7"/>
      <c r="D759" s="8"/>
      <c r="E759" s="8"/>
      <c r="F759" s="8"/>
      <c r="G759" s="8"/>
      <c r="H759" s="10"/>
    </row>
    <row r="760" spans="1:8" ht="13">
      <c r="A760" s="7"/>
      <c r="B760" s="7"/>
      <c r="C760" s="7"/>
      <c r="D760" s="8"/>
      <c r="E760" s="8"/>
      <c r="F760" s="8"/>
      <c r="G760" s="8"/>
      <c r="H760" s="10"/>
    </row>
    <row r="761" spans="1:8" ht="13">
      <c r="A761" s="7"/>
      <c r="B761" s="7"/>
      <c r="C761" s="7"/>
      <c r="D761" s="8"/>
      <c r="E761" s="8"/>
      <c r="F761" s="8"/>
      <c r="G761" s="8"/>
      <c r="H761" s="10"/>
    </row>
    <row r="762" spans="1:8" ht="13">
      <c r="A762" s="7"/>
      <c r="B762" s="7"/>
      <c r="C762" s="7"/>
      <c r="D762" s="8"/>
      <c r="E762" s="8"/>
      <c r="F762" s="8"/>
      <c r="G762" s="8"/>
      <c r="H762" s="10"/>
    </row>
    <row r="763" spans="1:8" ht="13">
      <c r="A763" s="7"/>
      <c r="B763" s="7"/>
      <c r="C763" s="7"/>
      <c r="D763" s="8"/>
      <c r="E763" s="8"/>
      <c r="F763" s="8"/>
      <c r="G763" s="8"/>
      <c r="H763" s="10"/>
    </row>
    <row r="764" spans="1:8" ht="13">
      <c r="A764" s="7"/>
      <c r="B764" s="7"/>
      <c r="C764" s="7"/>
      <c r="D764" s="8"/>
      <c r="E764" s="8"/>
      <c r="F764" s="8"/>
      <c r="G764" s="8"/>
      <c r="H764" s="10"/>
    </row>
    <row r="765" spans="1:8" ht="13">
      <c r="A765" s="7"/>
      <c r="B765" s="7"/>
      <c r="C765" s="7"/>
      <c r="D765" s="8"/>
      <c r="E765" s="8"/>
      <c r="F765" s="8"/>
      <c r="G765" s="8"/>
      <c r="H765" s="10"/>
    </row>
    <row r="766" spans="1:8" ht="13">
      <c r="A766" s="7"/>
      <c r="B766" s="7"/>
      <c r="C766" s="7"/>
      <c r="D766" s="8"/>
      <c r="E766" s="8"/>
      <c r="F766" s="8"/>
      <c r="G766" s="8"/>
      <c r="H766" s="10"/>
    </row>
    <row r="767" spans="1:8" ht="13">
      <c r="A767" s="7"/>
      <c r="B767" s="7"/>
      <c r="C767" s="7"/>
      <c r="D767" s="8"/>
      <c r="E767" s="8"/>
      <c r="F767" s="8"/>
      <c r="G767" s="8"/>
      <c r="H767" s="10"/>
    </row>
    <row r="768" spans="1:8" ht="13">
      <c r="A768" s="7"/>
      <c r="B768" s="7"/>
      <c r="C768" s="7"/>
      <c r="D768" s="8"/>
      <c r="E768" s="8"/>
      <c r="F768" s="8"/>
      <c r="G768" s="8"/>
      <c r="H768" s="10"/>
    </row>
    <row r="769" spans="1:8" ht="13">
      <c r="A769" s="7"/>
      <c r="B769" s="7"/>
      <c r="C769" s="7"/>
      <c r="D769" s="8"/>
      <c r="E769" s="8"/>
      <c r="F769" s="8"/>
      <c r="G769" s="8"/>
      <c r="H769" s="10"/>
    </row>
    <row r="770" spans="1:8" ht="13">
      <c r="A770" s="7"/>
      <c r="B770" s="7"/>
      <c r="C770" s="7"/>
      <c r="D770" s="8"/>
      <c r="E770" s="8"/>
      <c r="F770" s="8"/>
      <c r="G770" s="8"/>
      <c r="H770" s="10"/>
    </row>
    <row r="771" spans="1:8" ht="13">
      <c r="A771" s="7"/>
      <c r="B771" s="7"/>
      <c r="C771" s="7"/>
      <c r="D771" s="8"/>
      <c r="E771" s="8"/>
      <c r="F771" s="8"/>
      <c r="G771" s="8"/>
      <c r="H771" s="10"/>
    </row>
    <row r="772" spans="1:8" ht="13">
      <c r="A772" s="7"/>
      <c r="B772" s="7"/>
      <c r="C772" s="7"/>
      <c r="D772" s="8"/>
      <c r="E772" s="8"/>
      <c r="F772" s="8"/>
      <c r="G772" s="8"/>
      <c r="H772" s="10"/>
    </row>
    <row r="773" spans="1:8" ht="13">
      <c r="A773" s="7"/>
      <c r="B773" s="7"/>
      <c r="C773" s="7"/>
      <c r="D773" s="8"/>
      <c r="E773" s="8"/>
      <c r="F773" s="8"/>
      <c r="G773" s="8"/>
      <c r="H773" s="10"/>
    </row>
    <row r="774" spans="1:8" ht="13">
      <c r="A774" s="7"/>
      <c r="B774" s="7"/>
      <c r="C774" s="7"/>
      <c r="D774" s="8"/>
      <c r="E774" s="8"/>
      <c r="F774" s="8"/>
      <c r="G774" s="8"/>
      <c r="H774" s="10"/>
    </row>
    <row r="775" spans="1:8" ht="13">
      <c r="A775" s="7"/>
      <c r="B775" s="7"/>
      <c r="C775" s="7"/>
      <c r="D775" s="8"/>
      <c r="E775" s="8"/>
      <c r="F775" s="8"/>
      <c r="G775" s="8"/>
      <c r="H775" s="10"/>
    </row>
    <row r="776" spans="1:8" ht="13">
      <c r="A776" s="7"/>
      <c r="B776" s="7"/>
      <c r="C776" s="7"/>
      <c r="D776" s="8"/>
      <c r="E776" s="8"/>
      <c r="F776" s="8"/>
      <c r="G776" s="8"/>
      <c r="H776" s="10"/>
    </row>
    <row r="777" spans="1:8" ht="13">
      <c r="A777" s="7"/>
      <c r="B777" s="7"/>
      <c r="C777" s="7"/>
      <c r="D777" s="8"/>
      <c r="E777" s="8"/>
      <c r="F777" s="8"/>
      <c r="G777" s="8"/>
      <c r="H777" s="10"/>
    </row>
    <row r="778" spans="1:8" ht="13">
      <c r="A778" s="7"/>
      <c r="B778" s="7"/>
      <c r="C778" s="7"/>
      <c r="D778" s="8"/>
      <c r="E778" s="8"/>
      <c r="F778" s="8"/>
      <c r="G778" s="8"/>
      <c r="H778" s="10"/>
    </row>
    <row r="779" spans="1:8" ht="13">
      <c r="A779" s="7"/>
      <c r="B779" s="7"/>
      <c r="C779" s="7"/>
      <c r="D779" s="8"/>
      <c r="E779" s="8"/>
      <c r="F779" s="8"/>
      <c r="G779" s="8"/>
      <c r="H779" s="10"/>
    </row>
    <row r="780" spans="1:8" ht="13">
      <c r="A780" s="7"/>
      <c r="B780" s="7"/>
      <c r="C780" s="7"/>
      <c r="D780" s="8"/>
      <c r="E780" s="8"/>
      <c r="F780" s="8"/>
      <c r="G780" s="8"/>
      <c r="H780" s="10"/>
    </row>
    <row r="781" spans="1:8" ht="13">
      <c r="A781" s="7"/>
      <c r="B781" s="7"/>
      <c r="C781" s="7"/>
      <c r="D781" s="8"/>
      <c r="E781" s="8"/>
      <c r="F781" s="8"/>
      <c r="G781" s="8"/>
      <c r="H781" s="10"/>
    </row>
    <row r="782" spans="1:8" ht="13">
      <c r="A782" s="7"/>
      <c r="B782" s="7"/>
      <c r="C782" s="7"/>
      <c r="D782" s="8"/>
      <c r="E782" s="8"/>
      <c r="F782" s="8"/>
      <c r="G782" s="8"/>
      <c r="H782" s="10"/>
    </row>
    <row r="783" spans="1:8" ht="13">
      <c r="A783" s="7"/>
      <c r="B783" s="7"/>
      <c r="C783" s="7"/>
      <c r="D783" s="8"/>
      <c r="E783" s="8"/>
      <c r="F783" s="8"/>
      <c r="G783" s="8"/>
      <c r="H783" s="10"/>
    </row>
    <row r="784" spans="1:8" ht="13">
      <c r="A784" s="7"/>
      <c r="B784" s="7"/>
      <c r="C784" s="7"/>
      <c r="D784" s="8"/>
      <c r="E784" s="8"/>
      <c r="F784" s="8"/>
      <c r="G784" s="8"/>
      <c r="H784" s="10"/>
    </row>
    <row r="785" spans="1:8" ht="13">
      <c r="A785" s="7"/>
      <c r="B785" s="7"/>
      <c r="C785" s="7"/>
      <c r="D785" s="8"/>
      <c r="E785" s="8"/>
      <c r="F785" s="8"/>
      <c r="G785" s="8"/>
      <c r="H785" s="10"/>
    </row>
    <row r="786" spans="1:8" ht="13">
      <c r="A786" s="7"/>
      <c r="B786" s="7"/>
      <c r="C786" s="7"/>
      <c r="D786" s="8"/>
      <c r="E786" s="8"/>
      <c r="F786" s="8"/>
      <c r="G786" s="8"/>
      <c r="H786" s="10"/>
    </row>
    <row r="787" spans="1:8" ht="13">
      <c r="A787" s="7"/>
      <c r="B787" s="7"/>
      <c r="C787" s="7"/>
      <c r="D787" s="8"/>
      <c r="E787" s="8"/>
      <c r="F787" s="8"/>
      <c r="G787" s="8"/>
      <c r="H787" s="10"/>
    </row>
    <row r="788" spans="1:8" ht="13">
      <c r="A788" s="7"/>
      <c r="B788" s="7"/>
      <c r="C788" s="7"/>
      <c r="D788" s="8"/>
      <c r="E788" s="8"/>
      <c r="F788" s="8"/>
      <c r="G788" s="8"/>
      <c r="H788" s="10"/>
    </row>
    <row r="789" spans="1:8" ht="13">
      <c r="A789" s="7"/>
      <c r="B789" s="7"/>
      <c r="C789" s="7"/>
      <c r="D789" s="8"/>
      <c r="E789" s="8"/>
      <c r="F789" s="8"/>
      <c r="G789" s="8"/>
      <c r="H789" s="10"/>
    </row>
    <row r="790" spans="1:8" ht="13">
      <c r="A790" s="7"/>
      <c r="B790" s="7"/>
      <c r="C790" s="7"/>
      <c r="D790" s="8"/>
      <c r="E790" s="8"/>
      <c r="F790" s="8"/>
      <c r="G790" s="8"/>
      <c r="H790" s="10"/>
    </row>
    <row r="791" spans="1:8" ht="13">
      <c r="A791" s="7"/>
      <c r="B791" s="7"/>
      <c r="C791" s="7"/>
      <c r="D791" s="8"/>
      <c r="E791" s="8"/>
      <c r="F791" s="8"/>
      <c r="G791" s="8"/>
      <c r="H791" s="10"/>
    </row>
    <row r="792" spans="1:8" ht="13">
      <c r="A792" s="7"/>
      <c r="B792" s="7"/>
      <c r="C792" s="7"/>
      <c r="D792" s="8"/>
      <c r="E792" s="8"/>
      <c r="F792" s="8"/>
      <c r="G792" s="8"/>
      <c r="H792" s="10"/>
    </row>
    <row r="793" spans="1:8" ht="13">
      <c r="A793" s="7"/>
      <c r="B793" s="7"/>
      <c r="C793" s="7"/>
      <c r="D793" s="8"/>
      <c r="E793" s="8"/>
      <c r="F793" s="8"/>
      <c r="G793" s="8"/>
      <c r="H793" s="10"/>
    </row>
    <row r="794" spans="1:8" ht="13">
      <c r="A794" s="7"/>
      <c r="B794" s="7"/>
      <c r="C794" s="7"/>
      <c r="D794" s="8"/>
      <c r="E794" s="8"/>
      <c r="F794" s="8"/>
      <c r="G794" s="8"/>
      <c r="H794" s="10"/>
    </row>
    <row r="795" spans="1:8" ht="13">
      <c r="A795" s="7"/>
      <c r="B795" s="7"/>
      <c r="C795" s="7"/>
      <c r="D795" s="8"/>
      <c r="E795" s="8"/>
      <c r="F795" s="8"/>
      <c r="G795" s="8"/>
      <c r="H795" s="10"/>
    </row>
    <row r="796" spans="1:8" ht="13">
      <c r="A796" s="7"/>
      <c r="B796" s="7"/>
      <c r="C796" s="7"/>
      <c r="D796" s="8"/>
      <c r="E796" s="8"/>
      <c r="F796" s="8"/>
      <c r="G796" s="8"/>
      <c r="H796" s="10"/>
    </row>
    <row r="797" spans="1:8" ht="13">
      <c r="A797" s="7"/>
      <c r="B797" s="7"/>
      <c r="C797" s="7"/>
      <c r="D797" s="8"/>
      <c r="E797" s="8"/>
      <c r="F797" s="8"/>
      <c r="G797" s="8"/>
      <c r="H797" s="10"/>
    </row>
    <row r="798" spans="1:8" ht="13">
      <c r="A798" s="7"/>
      <c r="B798" s="7"/>
      <c r="C798" s="7"/>
      <c r="D798" s="8"/>
      <c r="E798" s="8"/>
      <c r="F798" s="8"/>
      <c r="G798" s="8"/>
      <c r="H798" s="10"/>
    </row>
    <row r="799" spans="1:8" ht="13">
      <c r="A799" s="7"/>
      <c r="B799" s="7"/>
      <c r="C799" s="7"/>
      <c r="D799" s="8"/>
      <c r="E799" s="8"/>
      <c r="F799" s="8"/>
      <c r="G799" s="8"/>
      <c r="H799" s="10"/>
    </row>
    <row r="800" spans="1:8" ht="13">
      <c r="A800" s="7"/>
      <c r="B800" s="7"/>
      <c r="C800" s="7"/>
      <c r="D800" s="8"/>
      <c r="E800" s="8"/>
      <c r="F800" s="8"/>
      <c r="G800" s="8"/>
      <c r="H800" s="10"/>
    </row>
    <row r="801" spans="1:8" ht="13">
      <c r="A801" s="7"/>
      <c r="B801" s="7"/>
      <c r="C801" s="7"/>
      <c r="D801" s="8"/>
      <c r="E801" s="8"/>
      <c r="F801" s="8"/>
      <c r="G801" s="8"/>
      <c r="H801" s="10"/>
    </row>
    <row r="802" spans="1:8" ht="13">
      <c r="A802" s="7"/>
      <c r="B802" s="7"/>
      <c r="C802" s="7"/>
      <c r="D802" s="8"/>
      <c r="E802" s="8"/>
      <c r="F802" s="8"/>
      <c r="G802" s="8"/>
      <c r="H802" s="10"/>
    </row>
    <row r="803" spans="1:8" ht="13">
      <c r="A803" s="7"/>
      <c r="B803" s="7"/>
      <c r="C803" s="7"/>
      <c r="D803" s="8"/>
      <c r="E803" s="8"/>
      <c r="F803" s="8"/>
      <c r="G803" s="8"/>
      <c r="H803" s="10"/>
    </row>
    <row r="804" spans="1:8" ht="13">
      <c r="A804" s="7"/>
      <c r="B804" s="7"/>
      <c r="C804" s="7"/>
      <c r="D804" s="8"/>
      <c r="E804" s="8"/>
      <c r="F804" s="8"/>
      <c r="G804" s="8"/>
      <c r="H804" s="10"/>
    </row>
    <row r="805" spans="1:8" ht="13">
      <c r="A805" s="7"/>
      <c r="B805" s="7"/>
      <c r="C805" s="7"/>
      <c r="D805" s="8"/>
      <c r="E805" s="8"/>
      <c r="F805" s="8"/>
      <c r="G805" s="8"/>
      <c r="H805" s="10"/>
    </row>
    <row r="806" spans="1:8" ht="13">
      <c r="A806" s="7"/>
      <c r="B806" s="7"/>
      <c r="C806" s="7"/>
      <c r="D806" s="8"/>
      <c r="E806" s="8"/>
      <c r="F806" s="8"/>
      <c r="G806" s="8"/>
      <c r="H806" s="10"/>
    </row>
    <row r="807" spans="1:8" ht="13">
      <c r="A807" s="7"/>
      <c r="B807" s="7"/>
      <c r="C807" s="7"/>
      <c r="D807" s="8"/>
      <c r="E807" s="8"/>
      <c r="F807" s="8"/>
      <c r="G807" s="8"/>
      <c r="H807" s="10"/>
    </row>
    <row r="808" spans="1:8" ht="13">
      <c r="A808" s="7"/>
      <c r="B808" s="7"/>
      <c r="C808" s="7"/>
      <c r="D808" s="8"/>
      <c r="E808" s="8"/>
      <c r="F808" s="8"/>
      <c r="G808" s="8"/>
      <c r="H808" s="10"/>
    </row>
    <row r="809" spans="1:8" ht="13">
      <c r="A809" s="7"/>
      <c r="B809" s="7"/>
      <c r="C809" s="7"/>
      <c r="D809" s="8"/>
      <c r="E809" s="8"/>
      <c r="F809" s="8"/>
      <c r="G809" s="8"/>
      <c r="H809" s="10"/>
    </row>
    <row r="810" spans="1:8" ht="13">
      <c r="A810" s="7"/>
      <c r="B810" s="7"/>
      <c r="C810" s="7"/>
      <c r="D810" s="8"/>
      <c r="E810" s="8"/>
      <c r="F810" s="8"/>
      <c r="G810" s="8"/>
      <c r="H810" s="10"/>
    </row>
    <row r="811" spans="1:8" ht="13">
      <c r="A811" s="7"/>
      <c r="B811" s="7"/>
      <c r="C811" s="7"/>
      <c r="D811" s="8"/>
      <c r="E811" s="8"/>
      <c r="F811" s="8"/>
      <c r="G811" s="8"/>
      <c r="H811" s="10"/>
    </row>
    <row r="812" spans="1:8" ht="13">
      <c r="A812" s="7"/>
      <c r="B812" s="7"/>
      <c r="C812" s="7"/>
      <c r="D812" s="8"/>
      <c r="E812" s="8"/>
      <c r="F812" s="8"/>
      <c r="G812" s="8"/>
      <c r="H812" s="10"/>
    </row>
    <row r="813" spans="1:8" ht="13">
      <c r="A813" s="7"/>
      <c r="B813" s="7"/>
      <c r="C813" s="7"/>
      <c r="D813" s="8"/>
      <c r="E813" s="8"/>
      <c r="F813" s="8"/>
      <c r="G813" s="8"/>
      <c r="H813" s="10"/>
    </row>
    <row r="814" spans="1:8" ht="13">
      <c r="A814" s="7"/>
      <c r="B814" s="7"/>
      <c r="C814" s="7"/>
      <c r="D814" s="8"/>
      <c r="E814" s="8"/>
      <c r="F814" s="8"/>
      <c r="G814" s="8"/>
      <c r="H814" s="10"/>
    </row>
    <row r="815" spans="1:8" ht="13">
      <c r="A815" s="7"/>
      <c r="B815" s="7"/>
      <c r="C815" s="7"/>
      <c r="D815" s="8"/>
      <c r="E815" s="8"/>
      <c r="F815" s="8"/>
      <c r="G815" s="8"/>
      <c r="H815" s="10"/>
    </row>
    <row r="816" spans="1:8" ht="13">
      <c r="A816" s="7"/>
      <c r="B816" s="7"/>
      <c r="C816" s="7"/>
      <c r="D816" s="8"/>
      <c r="E816" s="8"/>
      <c r="F816" s="8"/>
      <c r="G816" s="8"/>
      <c r="H816" s="10"/>
    </row>
    <row r="817" spans="1:8" ht="13">
      <c r="A817" s="7"/>
      <c r="B817" s="7"/>
      <c r="C817" s="7"/>
      <c r="D817" s="8"/>
      <c r="E817" s="8"/>
      <c r="F817" s="8"/>
      <c r="G817" s="8"/>
      <c r="H817" s="10"/>
    </row>
    <row r="818" spans="1:8" ht="13">
      <c r="A818" s="7"/>
      <c r="B818" s="7"/>
      <c r="C818" s="7"/>
      <c r="D818" s="8"/>
      <c r="E818" s="8"/>
      <c r="F818" s="8"/>
      <c r="G818" s="8"/>
      <c r="H818" s="10"/>
    </row>
    <row r="819" spans="1:8" ht="13">
      <c r="A819" s="7"/>
      <c r="B819" s="7"/>
      <c r="C819" s="7"/>
      <c r="D819" s="8"/>
      <c r="E819" s="8"/>
      <c r="F819" s="8"/>
      <c r="G819" s="8"/>
      <c r="H819" s="10"/>
    </row>
    <row r="820" spans="1:8" ht="13">
      <c r="A820" s="7"/>
      <c r="B820" s="7"/>
      <c r="C820" s="7"/>
      <c r="D820" s="8"/>
      <c r="E820" s="8"/>
      <c r="F820" s="8"/>
      <c r="G820" s="8"/>
      <c r="H820" s="10"/>
    </row>
    <row r="821" spans="1:8" ht="13">
      <c r="A821" s="7"/>
      <c r="B821" s="7"/>
      <c r="C821" s="7"/>
      <c r="D821" s="8"/>
      <c r="E821" s="8"/>
      <c r="F821" s="8"/>
      <c r="G821" s="8"/>
      <c r="H821" s="10"/>
    </row>
    <row r="822" spans="1:8" ht="13">
      <c r="A822" s="7"/>
      <c r="B822" s="7"/>
      <c r="C822" s="7"/>
      <c r="D822" s="8"/>
      <c r="E822" s="8"/>
      <c r="F822" s="8"/>
      <c r="G822" s="8"/>
      <c r="H822" s="10"/>
    </row>
    <row r="823" spans="1:8" ht="13">
      <c r="A823" s="7"/>
      <c r="B823" s="7"/>
      <c r="C823" s="7"/>
      <c r="D823" s="8"/>
      <c r="E823" s="8"/>
      <c r="F823" s="8"/>
      <c r="G823" s="8"/>
      <c r="H823" s="10"/>
    </row>
    <row r="824" spans="1:8" ht="13">
      <c r="A824" s="7"/>
      <c r="B824" s="7"/>
      <c r="C824" s="7"/>
      <c r="D824" s="8"/>
      <c r="E824" s="8"/>
      <c r="F824" s="8"/>
      <c r="G824" s="8"/>
      <c r="H824" s="10"/>
    </row>
    <row r="825" spans="1:8" ht="13">
      <c r="A825" s="7"/>
      <c r="B825" s="7"/>
      <c r="C825" s="7"/>
      <c r="D825" s="8"/>
      <c r="E825" s="8"/>
      <c r="F825" s="8"/>
      <c r="G825" s="8"/>
      <c r="H825" s="10"/>
    </row>
    <row r="826" spans="1:8" ht="13">
      <c r="A826" s="7"/>
      <c r="B826" s="7"/>
      <c r="C826" s="7"/>
      <c r="D826" s="8"/>
      <c r="E826" s="8"/>
      <c r="F826" s="8"/>
      <c r="G826" s="8"/>
      <c r="H826" s="10"/>
    </row>
    <row r="827" spans="1:8" ht="13">
      <c r="A827" s="7"/>
      <c r="B827" s="7"/>
      <c r="C827" s="7"/>
      <c r="D827" s="8"/>
      <c r="E827" s="8"/>
      <c r="F827" s="8"/>
      <c r="G827" s="8"/>
      <c r="H827" s="10"/>
    </row>
    <row r="828" spans="1:8" ht="13">
      <c r="A828" s="7"/>
      <c r="B828" s="7"/>
      <c r="C828" s="7"/>
      <c r="D828" s="8"/>
      <c r="E828" s="8"/>
      <c r="F828" s="8"/>
      <c r="G828" s="8"/>
      <c r="H828" s="10"/>
    </row>
    <row r="829" spans="1:8" ht="13">
      <c r="A829" s="7"/>
      <c r="B829" s="7"/>
      <c r="C829" s="7"/>
      <c r="D829" s="8"/>
      <c r="E829" s="8"/>
      <c r="F829" s="8"/>
      <c r="G829" s="8"/>
      <c r="H829" s="10"/>
    </row>
    <row r="830" spans="1:8" ht="13">
      <c r="A830" s="7"/>
      <c r="B830" s="7"/>
      <c r="C830" s="7"/>
      <c r="D830" s="8"/>
      <c r="E830" s="8"/>
      <c r="F830" s="8"/>
      <c r="G830" s="8"/>
      <c r="H830" s="10"/>
    </row>
    <row r="831" spans="1:8" ht="13">
      <c r="A831" s="7"/>
      <c r="B831" s="7"/>
      <c r="C831" s="7"/>
      <c r="D831" s="8"/>
      <c r="E831" s="8"/>
      <c r="F831" s="8"/>
      <c r="G831" s="8"/>
      <c r="H831" s="10"/>
    </row>
    <row r="832" spans="1:8" ht="13">
      <c r="A832" s="7"/>
      <c r="B832" s="7"/>
      <c r="C832" s="7"/>
      <c r="D832" s="8"/>
      <c r="E832" s="8"/>
      <c r="F832" s="8"/>
      <c r="G832" s="8"/>
      <c r="H832" s="10"/>
    </row>
    <row r="833" spans="1:8" ht="13">
      <c r="A833" s="7"/>
      <c r="B833" s="7"/>
      <c r="C833" s="7"/>
      <c r="D833" s="8"/>
      <c r="E833" s="8"/>
      <c r="F833" s="8"/>
      <c r="G833" s="8"/>
      <c r="H833" s="10"/>
    </row>
    <row r="834" spans="1:8" ht="13">
      <c r="A834" s="7"/>
      <c r="B834" s="7"/>
      <c r="C834" s="7"/>
      <c r="D834" s="8"/>
      <c r="E834" s="8"/>
      <c r="F834" s="8"/>
      <c r="G834" s="8"/>
      <c r="H834" s="10"/>
    </row>
    <row r="835" spans="1:8" ht="13">
      <c r="A835" s="7"/>
      <c r="B835" s="7"/>
      <c r="C835" s="7"/>
      <c r="D835" s="8"/>
      <c r="E835" s="8"/>
      <c r="F835" s="8"/>
      <c r="G835" s="8"/>
      <c r="H835" s="10"/>
    </row>
    <row r="836" spans="1:8" ht="13">
      <c r="A836" s="7"/>
      <c r="B836" s="7"/>
      <c r="C836" s="7"/>
      <c r="D836" s="8"/>
      <c r="E836" s="8"/>
      <c r="F836" s="8"/>
      <c r="G836" s="8"/>
      <c r="H836" s="10"/>
    </row>
    <row r="837" spans="1:8" ht="13">
      <c r="A837" s="7"/>
      <c r="B837" s="7"/>
      <c r="C837" s="7"/>
      <c r="D837" s="8"/>
      <c r="E837" s="8"/>
      <c r="F837" s="8"/>
      <c r="G837" s="8"/>
      <c r="H837" s="10"/>
    </row>
    <row r="838" spans="1:8" ht="13">
      <c r="A838" s="7"/>
      <c r="B838" s="7"/>
      <c r="C838" s="7"/>
      <c r="D838" s="8"/>
      <c r="E838" s="8"/>
      <c r="F838" s="8"/>
      <c r="G838" s="8"/>
      <c r="H838" s="10"/>
    </row>
    <row r="839" spans="1:8" ht="13">
      <c r="A839" s="7"/>
      <c r="B839" s="7"/>
      <c r="C839" s="7"/>
      <c r="D839" s="8"/>
      <c r="E839" s="8"/>
      <c r="F839" s="8"/>
      <c r="G839" s="8"/>
      <c r="H839" s="10"/>
    </row>
    <row r="840" spans="1:8" ht="13">
      <c r="A840" s="7"/>
      <c r="B840" s="7"/>
      <c r="C840" s="7"/>
      <c r="D840" s="8"/>
      <c r="E840" s="8"/>
      <c r="F840" s="8"/>
      <c r="G840" s="8"/>
      <c r="H840" s="10"/>
    </row>
    <row r="841" spans="1:8" ht="13">
      <c r="A841" s="7"/>
      <c r="B841" s="7"/>
      <c r="C841" s="7"/>
      <c r="D841" s="8"/>
      <c r="E841" s="8"/>
      <c r="F841" s="8"/>
      <c r="G841" s="8"/>
      <c r="H841" s="10"/>
    </row>
    <row r="842" spans="1:8" ht="13">
      <c r="A842" s="7"/>
      <c r="B842" s="7"/>
      <c r="C842" s="7"/>
      <c r="D842" s="8"/>
      <c r="E842" s="8"/>
      <c r="F842" s="8"/>
      <c r="G842" s="8"/>
      <c r="H842" s="10"/>
    </row>
    <row r="843" spans="1:8" ht="13">
      <c r="A843" s="7"/>
      <c r="B843" s="7"/>
      <c r="C843" s="7"/>
      <c r="D843" s="8"/>
      <c r="E843" s="8"/>
      <c r="F843" s="8"/>
      <c r="G843" s="8"/>
      <c r="H843" s="10"/>
    </row>
    <row r="844" spans="1:8" ht="13">
      <c r="A844" s="7"/>
      <c r="B844" s="7"/>
      <c r="C844" s="7"/>
      <c r="D844" s="8"/>
      <c r="E844" s="8"/>
      <c r="F844" s="8"/>
      <c r="G844" s="8"/>
      <c r="H844" s="10"/>
    </row>
    <row r="845" spans="1:8" ht="13">
      <c r="A845" s="7"/>
      <c r="B845" s="7"/>
      <c r="C845" s="7"/>
      <c r="D845" s="8"/>
      <c r="E845" s="8"/>
      <c r="F845" s="8"/>
      <c r="G845" s="8"/>
      <c r="H845" s="10"/>
    </row>
    <row r="846" spans="1:8" ht="13">
      <c r="A846" s="7"/>
      <c r="B846" s="7"/>
      <c r="C846" s="7"/>
      <c r="D846" s="8"/>
      <c r="E846" s="8"/>
      <c r="F846" s="8"/>
      <c r="G846" s="8"/>
      <c r="H846" s="10"/>
    </row>
    <row r="847" spans="1:8" ht="13">
      <c r="A847" s="7"/>
      <c r="B847" s="7"/>
      <c r="C847" s="7"/>
      <c r="D847" s="8"/>
      <c r="E847" s="8"/>
      <c r="F847" s="8"/>
      <c r="G847" s="8"/>
      <c r="H847" s="10"/>
    </row>
    <row r="848" spans="1:8" ht="13">
      <c r="A848" s="7"/>
      <c r="B848" s="7"/>
      <c r="C848" s="7"/>
      <c r="D848" s="8"/>
      <c r="E848" s="8"/>
      <c r="F848" s="8"/>
      <c r="G848" s="8"/>
      <c r="H848" s="10"/>
    </row>
    <row r="849" spans="1:8" ht="13">
      <c r="A849" s="7"/>
      <c r="B849" s="7"/>
      <c r="C849" s="7"/>
      <c r="D849" s="8"/>
      <c r="E849" s="8"/>
      <c r="F849" s="8"/>
      <c r="G849" s="8"/>
      <c r="H849" s="10"/>
    </row>
    <row r="850" spans="1:8" ht="13">
      <c r="A850" s="7"/>
      <c r="B850" s="7"/>
      <c r="C850" s="7"/>
      <c r="D850" s="8"/>
      <c r="E850" s="8"/>
      <c r="F850" s="8"/>
      <c r="G850" s="8"/>
      <c r="H850" s="10"/>
    </row>
    <row r="851" spans="1:8" ht="13">
      <c r="A851" s="7"/>
      <c r="B851" s="7"/>
      <c r="C851" s="7"/>
      <c r="D851" s="8"/>
      <c r="E851" s="8"/>
      <c r="F851" s="8"/>
      <c r="G851" s="8"/>
      <c r="H851" s="10"/>
    </row>
    <row r="852" spans="1:8" ht="13">
      <c r="A852" s="7"/>
      <c r="B852" s="7"/>
      <c r="C852" s="7"/>
      <c r="D852" s="8"/>
      <c r="E852" s="8"/>
      <c r="F852" s="8"/>
      <c r="G852" s="8"/>
      <c r="H852" s="10"/>
    </row>
    <row r="853" spans="1:8" ht="13">
      <c r="A853" s="7"/>
      <c r="B853" s="7"/>
      <c r="C853" s="7"/>
      <c r="D853" s="8"/>
      <c r="E853" s="8"/>
      <c r="F853" s="8"/>
      <c r="G853" s="8"/>
      <c r="H853" s="10"/>
    </row>
    <row r="854" spans="1:8" ht="13">
      <c r="A854" s="7"/>
      <c r="B854" s="7"/>
      <c r="C854" s="7"/>
      <c r="D854" s="8"/>
      <c r="E854" s="8"/>
      <c r="F854" s="8"/>
      <c r="G854" s="8"/>
      <c r="H854" s="10"/>
    </row>
    <row r="855" spans="1:8" ht="13">
      <c r="A855" s="7"/>
      <c r="B855" s="7"/>
      <c r="C855" s="7"/>
      <c r="D855" s="8"/>
      <c r="E855" s="8"/>
      <c r="F855" s="8"/>
      <c r="G855" s="8"/>
      <c r="H855" s="10"/>
    </row>
    <row r="856" spans="1:8" ht="13">
      <c r="A856" s="7"/>
      <c r="B856" s="7"/>
      <c r="C856" s="7"/>
      <c r="D856" s="8"/>
      <c r="E856" s="8"/>
      <c r="F856" s="8"/>
      <c r="G856" s="8"/>
      <c r="H856" s="10"/>
    </row>
    <row r="857" spans="1:8" ht="13">
      <c r="A857" s="7"/>
      <c r="B857" s="7"/>
      <c r="C857" s="7"/>
      <c r="D857" s="8"/>
      <c r="E857" s="8"/>
      <c r="F857" s="8"/>
      <c r="G857" s="8"/>
      <c r="H857" s="10"/>
    </row>
    <row r="858" spans="1:8" ht="13">
      <c r="A858" s="7"/>
      <c r="B858" s="7"/>
      <c r="C858" s="7"/>
      <c r="D858" s="8"/>
      <c r="E858" s="8"/>
      <c r="F858" s="8"/>
      <c r="G858" s="8"/>
      <c r="H858" s="10"/>
    </row>
    <row r="859" spans="1:8" ht="13">
      <c r="A859" s="7"/>
      <c r="B859" s="7"/>
      <c r="C859" s="7"/>
      <c r="D859" s="8"/>
      <c r="E859" s="8"/>
      <c r="F859" s="8"/>
      <c r="G859" s="8"/>
      <c r="H859" s="10"/>
    </row>
    <row r="860" spans="1:8" ht="13">
      <c r="A860" s="7"/>
      <c r="B860" s="7"/>
      <c r="C860" s="7"/>
      <c r="D860" s="8"/>
      <c r="E860" s="8"/>
      <c r="F860" s="8"/>
      <c r="G860" s="8"/>
      <c r="H860" s="10"/>
    </row>
    <row r="861" spans="1:8" ht="13">
      <c r="A861" s="7"/>
      <c r="B861" s="7"/>
      <c r="C861" s="7"/>
      <c r="D861" s="8"/>
      <c r="E861" s="8"/>
      <c r="F861" s="8"/>
      <c r="G861" s="8"/>
      <c r="H861" s="10"/>
    </row>
    <row r="862" spans="1:8" ht="13">
      <c r="A862" s="7"/>
      <c r="B862" s="7"/>
      <c r="C862" s="7"/>
      <c r="D862" s="8"/>
      <c r="E862" s="8"/>
      <c r="F862" s="8"/>
      <c r="G862" s="8"/>
      <c r="H862" s="10"/>
    </row>
    <row r="863" spans="1:8" ht="13">
      <c r="A863" s="7"/>
      <c r="B863" s="7"/>
      <c r="C863" s="7"/>
      <c r="D863" s="8"/>
      <c r="E863" s="8"/>
      <c r="F863" s="8"/>
      <c r="G863" s="8"/>
      <c r="H863" s="10"/>
    </row>
    <row r="864" spans="1:8" ht="13">
      <c r="A864" s="7"/>
      <c r="B864" s="7"/>
      <c r="C864" s="7"/>
      <c r="D864" s="8"/>
      <c r="E864" s="8"/>
      <c r="F864" s="8"/>
      <c r="G864" s="8"/>
      <c r="H864" s="10"/>
    </row>
    <row r="865" spans="1:8" ht="13">
      <c r="A865" s="7"/>
      <c r="B865" s="7"/>
      <c r="C865" s="7"/>
      <c r="D865" s="8"/>
      <c r="E865" s="8"/>
      <c r="F865" s="8"/>
      <c r="G865" s="8"/>
      <c r="H865" s="10"/>
    </row>
    <row r="866" spans="1:8" ht="13">
      <c r="A866" s="7"/>
      <c r="B866" s="7"/>
      <c r="C866" s="7"/>
      <c r="D866" s="8"/>
      <c r="E866" s="8"/>
      <c r="F866" s="8"/>
      <c r="G866" s="8"/>
      <c r="H866" s="10"/>
    </row>
    <row r="867" spans="1:8" ht="13">
      <c r="A867" s="7"/>
      <c r="B867" s="7"/>
      <c r="C867" s="7"/>
      <c r="D867" s="8"/>
      <c r="E867" s="8"/>
      <c r="F867" s="8"/>
      <c r="G867" s="8"/>
      <c r="H867" s="10"/>
    </row>
    <row r="868" spans="1:8" ht="13">
      <c r="A868" s="7"/>
      <c r="B868" s="7"/>
      <c r="C868" s="7"/>
      <c r="D868" s="8"/>
      <c r="E868" s="8"/>
      <c r="F868" s="8"/>
      <c r="G868" s="8"/>
      <c r="H868" s="10"/>
    </row>
    <row r="869" spans="1:8" ht="13">
      <c r="A869" s="7"/>
      <c r="B869" s="7"/>
      <c r="C869" s="7"/>
      <c r="D869" s="8"/>
      <c r="E869" s="8"/>
      <c r="F869" s="8"/>
      <c r="G869" s="8"/>
      <c r="H869" s="10"/>
    </row>
    <row r="870" spans="1:8" ht="13">
      <c r="A870" s="7"/>
      <c r="B870" s="7"/>
      <c r="C870" s="7"/>
      <c r="D870" s="8"/>
      <c r="E870" s="8"/>
      <c r="F870" s="8"/>
      <c r="G870" s="8"/>
      <c r="H870" s="10"/>
    </row>
    <row r="871" spans="1:8" ht="13">
      <c r="A871" s="7"/>
      <c r="B871" s="7"/>
      <c r="C871" s="7"/>
      <c r="D871" s="8"/>
      <c r="E871" s="8"/>
      <c r="F871" s="8"/>
      <c r="G871" s="8"/>
      <c r="H871" s="10"/>
    </row>
    <row r="872" spans="1:8" ht="13">
      <c r="A872" s="7"/>
      <c r="B872" s="7"/>
      <c r="C872" s="7"/>
      <c r="D872" s="8"/>
      <c r="E872" s="8"/>
      <c r="F872" s="8"/>
      <c r="G872" s="8"/>
      <c r="H872" s="10"/>
    </row>
    <row r="873" spans="1:8" ht="13">
      <c r="A873" s="7"/>
      <c r="B873" s="7"/>
      <c r="C873" s="7"/>
      <c r="D873" s="8"/>
      <c r="E873" s="8"/>
      <c r="F873" s="8"/>
      <c r="G873" s="8"/>
      <c r="H873" s="10"/>
    </row>
    <row r="874" spans="1:8" ht="13">
      <c r="A874" s="7"/>
      <c r="B874" s="7"/>
      <c r="C874" s="7"/>
      <c r="D874" s="8"/>
      <c r="E874" s="8"/>
      <c r="F874" s="8"/>
      <c r="G874" s="8"/>
      <c r="H874" s="10"/>
    </row>
    <row r="875" spans="1:8" ht="13">
      <c r="A875" s="7"/>
      <c r="B875" s="7"/>
      <c r="C875" s="7"/>
      <c r="D875" s="8"/>
      <c r="E875" s="8"/>
      <c r="F875" s="8"/>
      <c r="G875" s="8"/>
      <c r="H875" s="10"/>
    </row>
    <row r="876" spans="1:8" ht="13">
      <c r="A876" s="7"/>
      <c r="B876" s="7"/>
      <c r="C876" s="7"/>
      <c r="D876" s="8"/>
      <c r="E876" s="8"/>
      <c r="F876" s="8"/>
      <c r="G876" s="8"/>
      <c r="H876" s="10"/>
    </row>
    <row r="877" spans="1:8" ht="13">
      <c r="A877" s="7"/>
      <c r="B877" s="7"/>
      <c r="C877" s="7"/>
      <c r="D877" s="8"/>
      <c r="E877" s="8"/>
      <c r="F877" s="8"/>
      <c r="G877" s="8"/>
      <c r="H877" s="10"/>
    </row>
    <row r="878" spans="1:8" ht="13">
      <c r="A878" s="7"/>
      <c r="B878" s="7"/>
      <c r="C878" s="7"/>
      <c r="D878" s="8"/>
      <c r="E878" s="8"/>
      <c r="F878" s="8"/>
      <c r="G878" s="8"/>
      <c r="H878" s="10"/>
    </row>
    <row r="879" spans="1:8" ht="13">
      <c r="A879" s="7"/>
      <c r="B879" s="7"/>
      <c r="C879" s="7"/>
      <c r="D879" s="8"/>
      <c r="E879" s="8"/>
      <c r="F879" s="8"/>
      <c r="G879" s="8"/>
      <c r="H879" s="10"/>
    </row>
    <row r="880" spans="1:8" ht="13">
      <c r="A880" s="7"/>
      <c r="B880" s="7"/>
      <c r="C880" s="7"/>
      <c r="D880" s="8"/>
      <c r="E880" s="8"/>
      <c r="F880" s="8"/>
      <c r="G880" s="8"/>
      <c r="H880" s="10"/>
    </row>
    <row r="881" spans="1:8" ht="13">
      <c r="A881" s="7"/>
      <c r="B881" s="7"/>
      <c r="C881" s="7"/>
      <c r="D881" s="8"/>
      <c r="E881" s="8"/>
      <c r="F881" s="8"/>
      <c r="G881" s="8"/>
      <c r="H881" s="10"/>
    </row>
    <row r="882" spans="1:8" ht="13">
      <c r="A882" s="7"/>
      <c r="B882" s="7"/>
      <c r="C882" s="7"/>
      <c r="D882" s="8"/>
      <c r="E882" s="8"/>
      <c r="F882" s="8"/>
      <c r="G882" s="8"/>
      <c r="H882" s="10"/>
    </row>
    <row r="883" spans="1:8" ht="13">
      <c r="A883" s="7"/>
      <c r="B883" s="7"/>
      <c r="C883" s="7"/>
      <c r="D883" s="8"/>
      <c r="E883" s="8"/>
      <c r="F883" s="8"/>
      <c r="G883" s="8"/>
      <c r="H883" s="10"/>
    </row>
    <row r="884" spans="1:8" ht="13">
      <c r="A884" s="7"/>
      <c r="B884" s="7"/>
      <c r="C884" s="7"/>
      <c r="D884" s="8"/>
      <c r="E884" s="8"/>
      <c r="F884" s="8"/>
      <c r="G884" s="8"/>
      <c r="H884" s="10"/>
    </row>
    <row r="885" spans="1:8" ht="13">
      <c r="A885" s="7"/>
      <c r="B885" s="7"/>
      <c r="C885" s="7"/>
      <c r="D885" s="8"/>
      <c r="E885" s="8"/>
      <c r="F885" s="8"/>
      <c r="G885" s="8"/>
      <c r="H885" s="10"/>
    </row>
    <row r="886" spans="1:8" ht="13">
      <c r="A886" s="7"/>
      <c r="B886" s="7"/>
      <c r="C886" s="7"/>
      <c r="D886" s="8"/>
      <c r="E886" s="8"/>
      <c r="F886" s="8"/>
      <c r="G886" s="8"/>
      <c r="H886" s="10"/>
    </row>
    <row r="887" spans="1:8" ht="13">
      <c r="A887" s="7"/>
      <c r="B887" s="7"/>
      <c r="C887" s="7"/>
      <c r="D887" s="8"/>
      <c r="E887" s="8"/>
      <c r="F887" s="8"/>
      <c r="G887" s="8"/>
      <c r="H887" s="10"/>
    </row>
    <row r="888" spans="1:8" ht="13">
      <c r="A888" s="7"/>
      <c r="B888" s="7"/>
      <c r="C888" s="7"/>
      <c r="D888" s="8"/>
      <c r="E888" s="8"/>
      <c r="F888" s="8"/>
      <c r="G888" s="8"/>
      <c r="H888" s="10"/>
    </row>
    <row r="889" spans="1:8" ht="13">
      <c r="A889" s="7"/>
      <c r="B889" s="7"/>
      <c r="C889" s="7"/>
      <c r="D889" s="8"/>
      <c r="E889" s="8"/>
      <c r="F889" s="8"/>
      <c r="G889" s="8"/>
      <c r="H889" s="10"/>
    </row>
    <row r="890" spans="1:8" ht="13">
      <c r="A890" s="7"/>
      <c r="B890" s="7"/>
      <c r="C890" s="7"/>
      <c r="D890" s="8"/>
      <c r="E890" s="8"/>
      <c r="F890" s="8"/>
      <c r="G890" s="8"/>
      <c r="H890" s="10"/>
    </row>
    <row r="891" spans="1:8" ht="13">
      <c r="A891" s="7"/>
      <c r="B891" s="7"/>
      <c r="C891" s="7"/>
      <c r="D891" s="8"/>
      <c r="E891" s="8"/>
      <c r="F891" s="8"/>
      <c r="G891" s="8"/>
      <c r="H891" s="10"/>
    </row>
    <row r="892" spans="1:8" ht="13">
      <c r="A892" s="7"/>
      <c r="B892" s="7"/>
      <c r="C892" s="7"/>
      <c r="D892" s="8"/>
      <c r="E892" s="8"/>
      <c r="F892" s="8"/>
      <c r="G892" s="8"/>
      <c r="H892" s="10"/>
    </row>
    <row r="893" spans="1:8" ht="13">
      <c r="A893" s="7"/>
      <c r="B893" s="7"/>
      <c r="C893" s="7"/>
      <c r="D893" s="8"/>
      <c r="E893" s="8"/>
      <c r="F893" s="8"/>
      <c r="G893" s="8"/>
      <c r="H893" s="10"/>
    </row>
    <row r="894" spans="1:8" ht="13">
      <c r="A894" s="7"/>
      <c r="B894" s="7"/>
      <c r="C894" s="7"/>
      <c r="D894" s="8"/>
      <c r="E894" s="8"/>
      <c r="F894" s="8"/>
      <c r="G894" s="8"/>
      <c r="H894" s="10"/>
    </row>
    <row r="895" spans="1:8" ht="13">
      <c r="A895" s="7"/>
      <c r="B895" s="7"/>
      <c r="C895" s="7"/>
      <c r="D895" s="8"/>
      <c r="E895" s="8"/>
      <c r="F895" s="8"/>
      <c r="G895" s="8"/>
      <c r="H895" s="10"/>
    </row>
    <row r="896" spans="1:8" ht="13">
      <c r="A896" s="7"/>
      <c r="B896" s="7"/>
      <c r="C896" s="7"/>
      <c r="D896" s="8"/>
      <c r="E896" s="8"/>
      <c r="F896" s="8"/>
      <c r="G896" s="8"/>
      <c r="H896" s="10"/>
    </row>
    <row r="897" spans="1:8" ht="13">
      <c r="A897" s="7"/>
      <c r="B897" s="7"/>
      <c r="C897" s="7"/>
      <c r="D897" s="8"/>
      <c r="E897" s="8"/>
      <c r="F897" s="8"/>
      <c r="G897" s="8"/>
      <c r="H897" s="10"/>
    </row>
    <row r="898" spans="1:8" ht="13">
      <c r="A898" s="7"/>
      <c r="B898" s="7"/>
      <c r="C898" s="7"/>
      <c r="D898" s="8"/>
      <c r="E898" s="8"/>
      <c r="F898" s="8"/>
      <c r="G898" s="8"/>
      <c r="H898" s="10"/>
    </row>
    <row r="899" spans="1:8" ht="13">
      <c r="A899" s="7"/>
      <c r="B899" s="7"/>
      <c r="C899" s="7"/>
      <c r="D899" s="8"/>
      <c r="E899" s="8"/>
      <c r="F899" s="8"/>
      <c r="G899" s="8"/>
      <c r="H899" s="10"/>
    </row>
    <row r="900" spans="1:8" ht="13">
      <c r="A900" s="7"/>
      <c r="B900" s="7"/>
      <c r="C900" s="7"/>
      <c r="D900" s="8"/>
      <c r="E900" s="8"/>
      <c r="F900" s="8"/>
      <c r="G900" s="8"/>
      <c r="H900" s="10"/>
    </row>
    <row r="901" spans="1:8" ht="13">
      <c r="A901" s="7"/>
      <c r="B901" s="7"/>
      <c r="C901" s="7"/>
      <c r="D901" s="8"/>
      <c r="E901" s="8"/>
      <c r="F901" s="8"/>
      <c r="G901" s="8"/>
      <c r="H901" s="10"/>
    </row>
    <row r="902" spans="1:8" ht="13">
      <c r="A902" s="7"/>
      <c r="B902" s="7"/>
      <c r="C902" s="7"/>
      <c r="D902" s="8"/>
      <c r="E902" s="8"/>
      <c r="F902" s="8"/>
      <c r="G902" s="8"/>
      <c r="H902" s="10"/>
    </row>
    <row r="903" spans="1:8" ht="13">
      <c r="A903" s="7"/>
      <c r="B903" s="7"/>
      <c r="C903" s="7"/>
      <c r="D903" s="8"/>
      <c r="E903" s="8"/>
      <c r="F903" s="8"/>
      <c r="G903" s="8"/>
      <c r="H903" s="10"/>
    </row>
    <row r="904" spans="1:8" ht="13">
      <c r="A904" s="7"/>
      <c r="B904" s="7"/>
      <c r="C904" s="7"/>
      <c r="D904" s="8"/>
      <c r="E904" s="8"/>
      <c r="F904" s="8"/>
      <c r="G904" s="8"/>
      <c r="H904" s="10"/>
    </row>
    <row r="905" spans="1:8" ht="13">
      <c r="A905" s="7"/>
      <c r="B905" s="7"/>
      <c r="C905" s="7"/>
      <c r="D905" s="8"/>
      <c r="E905" s="8"/>
      <c r="F905" s="8"/>
      <c r="G905" s="8"/>
      <c r="H905" s="10"/>
    </row>
    <row r="906" spans="1:8" ht="13">
      <c r="A906" s="7"/>
      <c r="B906" s="7"/>
      <c r="C906" s="7"/>
      <c r="D906" s="8"/>
      <c r="E906" s="8"/>
      <c r="F906" s="8"/>
      <c r="G906" s="8"/>
      <c r="H906" s="10"/>
    </row>
    <row r="907" spans="1:8" ht="13">
      <c r="A907" s="7"/>
      <c r="B907" s="7"/>
      <c r="C907" s="7"/>
      <c r="D907" s="8"/>
      <c r="E907" s="8"/>
      <c r="F907" s="8"/>
      <c r="G907" s="8"/>
      <c r="H907" s="10"/>
    </row>
    <row r="908" spans="1:8" ht="13">
      <c r="A908" s="7"/>
      <c r="B908" s="7"/>
      <c r="C908" s="7"/>
      <c r="D908" s="8"/>
      <c r="E908" s="8"/>
      <c r="F908" s="8"/>
      <c r="G908" s="8"/>
      <c r="H908" s="10"/>
    </row>
    <row r="909" spans="1:8" ht="13">
      <c r="A909" s="7"/>
      <c r="B909" s="7"/>
      <c r="C909" s="7"/>
      <c r="D909" s="8"/>
      <c r="E909" s="8"/>
      <c r="F909" s="8"/>
      <c r="G909" s="8"/>
      <c r="H909" s="10"/>
    </row>
    <row r="910" spans="1:8" ht="13">
      <c r="A910" s="7"/>
      <c r="B910" s="7"/>
      <c r="C910" s="7"/>
      <c r="D910" s="8"/>
      <c r="E910" s="8"/>
      <c r="F910" s="8"/>
      <c r="G910" s="8"/>
      <c r="H910" s="10"/>
    </row>
    <row r="911" spans="1:8" ht="13">
      <c r="A911" s="7"/>
      <c r="B911" s="7"/>
      <c r="C911" s="7"/>
      <c r="D911" s="8"/>
      <c r="E911" s="8"/>
      <c r="F911" s="8"/>
      <c r="G911" s="8"/>
      <c r="H911" s="10"/>
    </row>
    <row r="912" spans="1:8" ht="13">
      <c r="A912" s="7"/>
      <c r="B912" s="7"/>
      <c r="C912" s="7"/>
      <c r="D912" s="8"/>
      <c r="E912" s="8"/>
      <c r="F912" s="8"/>
      <c r="G912" s="8"/>
      <c r="H912" s="10"/>
    </row>
    <row r="913" spans="1:8" ht="13">
      <c r="A913" s="7"/>
      <c r="B913" s="7"/>
      <c r="C913" s="7"/>
      <c r="D913" s="8"/>
      <c r="E913" s="8"/>
      <c r="F913" s="8"/>
      <c r="G913" s="8"/>
      <c r="H913" s="10"/>
    </row>
    <row r="914" spans="1:8" ht="13">
      <c r="A914" s="7"/>
      <c r="B914" s="7"/>
      <c r="C914" s="7"/>
      <c r="D914" s="8"/>
      <c r="E914" s="8"/>
      <c r="F914" s="8"/>
      <c r="G914" s="8"/>
      <c r="H914" s="10"/>
    </row>
    <row r="915" spans="1:8" ht="13">
      <c r="A915" s="7"/>
      <c r="B915" s="7"/>
      <c r="C915" s="7"/>
      <c r="D915" s="8"/>
      <c r="E915" s="8"/>
      <c r="F915" s="8"/>
      <c r="G915" s="8"/>
      <c r="H915" s="10"/>
    </row>
    <row r="916" spans="1:8" ht="13">
      <c r="A916" s="7"/>
      <c r="B916" s="7"/>
      <c r="C916" s="7"/>
      <c r="D916" s="8"/>
      <c r="E916" s="8"/>
      <c r="F916" s="8"/>
      <c r="G916" s="8"/>
      <c r="H916" s="10"/>
    </row>
    <row r="917" spans="1:8" ht="13">
      <c r="A917" s="7"/>
      <c r="B917" s="7"/>
      <c r="C917" s="7"/>
      <c r="D917" s="8"/>
      <c r="E917" s="8"/>
      <c r="F917" s="8"/>
      <c r="G917" s="8"/>
      <c r="H917" s="10"/>
    </row>
    <row r="918" spans="1:8" ht="13">
      <c r="A918" s="7"/>
      <c r="B918" s="7"/>
      <c r="C918" s="7"/>
      <c r="D918" s="8"/>
      <c r="E918" s="8"/>
      <c r="F918" s="8"/>
      <c r="G918" s="8"/>
      <c r="H918" s="10"/>
    </row>
    <row r="919" spans="1:8" ht="13">
      <c r="A919" s="7"/>
      <c r="B919" s="7"/>
      <c r="C919" s="7"/>
      <c r="D919" s="8"/>
      <c r="E919" s="8"/>
      <c r="F919" s="8"/>
      <c r="G919" s="8"/>
      <c r="H919" s="10"/>
    </row>
    <row r="920" spans="1:8" ht="13">
      <c r="A920" s="7"/>
      <c r="B920" s="7"/>
      <c r="C920" s="7"/>
      <c r="D920" s="8"/>
      <c r="E920" s="8"/>
      <c r="F920" s="8"/>
      <c r="G920" s="8"/>
      <c r="H920" s="10"/>
    </row>
    <row r="921" spans="1:8" ht="13">
      <c r="A921" s="7"/>
      <c r="B921" s="7"/>
      <c r="C921" s="7"/>
      <c r="D921" s="8"/>
      <c r="E921" s="8"/>
      <c r="F921" s="8"/>
      <c r="G921" s="8"/>
      <c r="H921" s="10"/>
    </row>
    <row r="922" spans="1:8" ht="13">
      <c r="A922" s="7"/>
      <c r="B922" s="7"/>
      <c r="C922" s="7"/>
      <c r="D922" s="8"/>
      <c r="E922" s="8"/>
      <c r="F922" s="8"/>
      <c r="G922" s="8"/>
      <c r="H922" s="10"/>
    </row>
    <row r="923" spans="1:8" ht="13">
      <c r="A923" s="7"/>
      <c r="B923" s="7"/>
      <c r="C923" s="7"/>
      <c r="D923" s="8"/>
      <c r="E923" s="8"/>
      <c r="F923" s="8"/>
      <c r="G923" s="8"/>
      <c r="H923" s="10"/>
    </row>
    <row r="924" spans="1:8" ht="13">
      <c r="A924" s="7"/>
      <c r="B924" s="7"/>
      <c r="C924" s="7"/>
      <c r="D924" s="8"/>
      <c r="E924" s="8"/>
      <c r="F924" s="8"/>
      <c r="G924" s="8"/>
      <c r="H924" s="10"/>
    </row>
    <row r="925" spans="1:8" ht="13">
      <c r="A925" s="7"/>
      <c r="B925" s="7"/>
      <c r="C925" s="7"/>
      <c r="D925" s="8"/>
      <c r="E925" s="8"/>
      <c r="F925" s="8"/>
      <c r="G925" s="8"/>
      <c r="H925" s="10"/>
    </row>
    <row r="926" spans="1:8" ht="13">
      <c r="A926" s="7"/>
      <c r="B926" s="7"/>
      <c r="C926" s="7"/>
      <c r="D926" s="8"/>
      <c r="E926" s="8"/>
      <c r="F926" s="8"/>
      <c r="G926" s="8"/>
      <c r="H926" s="10"/>
    </row>
    <row r="927" spans="1:8" ht="13">
      <c r="A927" s="7"/>
      <c r="B927" s="7"/>
      <c r="C927" s="7"/>
      <c r="D927" s="8"/>
      <c r="E927" s="8"/>
      <c r="F927" s="8"/>
      <c r="G927" s="8"/>
      <c r="H927" s="10"/>
    </row>
    <row r="928" spans="1:8" ht="13">
      <c r="A928" s="7"/>
      <c r="B928" s="7"/>
      <c r="C928" s="7"/>
      <c r="D928" s="8"/>
      <c r="E928" s="8"/>
      <c r="F928" s="8"/>
      <c r="G928" s="8"/>
      <c r="H928" s="10"/>
    </row>
    <row r="929" spans="1:8" ht="13">
      <c r="A929" s="7"/>
      <c r="B929" s="7"/>
      <c r="C929" s="7"/>
      <c r="D929" s="8"/>
      <c r="E929" s="8"/>
      <c r="F929" s="8"/>
      <c r="G929" s="8"/>
      <c r="H929" s="10"/>
    </row>
    <row r="930" spans="1:8" ht="13">
      <c r="A930" s="7"/>
      <c r="B930" s="7"/>
      <c r="C930" s="7"/>
      <c r="D930" s="8"/>
      <c r="E930" s="8"/>
      <c r="F930" s="8"/>
      <c r="G930" s="8"/>
      <c r="H930" s="10"/>
    </row>
    <row r="931" spans="1:8" ht="13">
      <c r="A931" s="7"/>
      <c r="B931" s="7"/>
      <c r="C931" s="7"/>
      <c r="D931" s="8"/>
      <c r="E931" s="8"/>
      <c r="F931" s="8"/>
      <c r="G931" s="8"/>
      <c r="H931" s="10"/>
    </row>
    <row r="932" spans="1:8" ht="13">
      <c r="A932" s="7"/>
      <c r="B932" s="7"/>
      <c r="C932" s="7"/>
      <c r="D932" s="8"/>
      <c r="E932" s="8"/>
      <c r="F932" s="8"/>
      <c r="G932" s="8"/>
      <c r="H932" s="10"/>
    </row>
    <row r="933" spans="1:8" ht="13">
      <c r="A933" s="7"/>
      <c r="B933" s="7"/>
      <c r="C933" s="7"/>
      <c r="D933" s="8"/>
      <c r="E933" s="8"/>
      <c r="F933" s="8"/>
      <c r="G933" s="8"/>
      <c r="H933" s="10"/>
    </row>
    <row r="934" spans="1:8" ht="13">
      <c r="A934" s="7"/>
      <c r="B934" s="7"/>
      <c r="C934" s="7"/>
      <c r="D934" s="8"/>
      <c r="E934" s="8"/>
      <c r="F934" s="8"/>
      <c r="G934" s="8"/>
      <c r="H934" s="10"/>
    </row>
    <row r="935" spans="1:8" ht="13">
      <c r="A935" s="7"/>
      <c r="B935" s="7"/>
      <c r="C935" s="7"/>
      <c r="D935" s="8"/>
      <c r="E935" s="8"/>
      <c r="F935" s="8"/>
      <c r="G935" s="8"/>
      <c r="H935" s="10"/>
    </row>
    <row r="936" spans="1:8" ht="13">
      <c r="A936" s="7"/>
      <c r="B936" s="7"/>
      <c r="C936" s="7"/>
      <c r="D936" s="8"/>
      <c r="E936" s="8"/>
      <c r="F936" s="8"/>
      <c r="G936" s="8"/>
      <c r="H936" s="10"/>
    </row>
    <row r="937" spans="1:8" ht="13">
      <c r="A937" s="7"/>
      <c r="B937" s="7"/>
      <c r="C937" s="7"/>
      <c r="D937" s="8"/>
      <c r="E937" s="8"/>
      <c r="F937" s="8"/>
      <c r="G937" s="8"/>
      <c r="H937" s="10"/>
    </row>
    <row r="938" spans="1:8" ht="13">
      <c r="A938" s="7"/>
      <c r="B938" s="7"/>
      <c r="C938" s="7"/>
      <c r="D938" s="8"/>
      <c r="E938" s="8"/>
      <c r="F938" s="8"/>
      <c r="G938" s="8"/>
      <c r="H938" s="10"/>
    </row>
    <row r="939" spans="1:8" ht="13">
      <c r="A939" s="7"/>
      <c r="B939" s="7"/>
      <c r="C939" s="7"/>
      <c r="D939" s="8"/>
      <c r="E939" s="8"/>
      <c r="F939" s="8"/>
      <c r="G939" s="8"/>
      <c r="H939" s="10"/>
    </row>
    <row r="940" spans="1:8" ht="13">
      <c r="A940" s="7"/>
      <c r="B940" s="7"/>
      <c r="C940" s="7"/>
      <c r="D940" s="8"/>
      <c r="E940" s="8"/>
      <c r="F940" s="8"/>
      <c r="G940" s="8"/>
      <c r="H940" s="10"/>
    </row>
    <row r="941" spans="1:8" ht="13">
      <c r="A941" s="7"/>
      <c r="B941" s="7"/>
      <c r="C941" s="7"/>
      <c r="D941" s="8"/>
      <c r="E941" s="8"/>
      <c r="F941" s="8"/>
      <c r="G941" s="8"/>
      <c r="H941" s="10"/>
    </row>
    <row r="942" spans="1:8" ht="13">
      <c r="A942" s="7"/>
      <c r="B942" s="7"/>
      <c r="C942" s="7"/>
      <c r="D942" s="8"/>
      <c r="E942" s="8"/>
      <c r="F942" s="8"/>
      <c r="G942" s="8"/>
      <c r="H942" s="10"/>
    </row>
    <row r="943" spans="1:8" ht="13">
      <c r="A943" s="7"/>
      <c r="B943" s="7"/>
      <c r="C943" s="7"/>
      <c r="D943" s="8"/>
      <c r="E943" s="8"/>
      <c r="F943" s="8"/>
      <c r="G943" s="8"/>
      <c r="H943" s="10"/>
    </row>
    <row r="944" spans="1:8" ht="13">
      <c r="A944" s="7"/>
      <c r="B944" s="7"/>
      <c r="C944" s="7"/>
      <c r="D944" s="8"/>
      <c r="E944" s="8"/>
      <c r="F944" s="8"/>
      <c r="G944" s="8"/>
      <c r="H944" s="10"/>
    </row>
    <row r="945" spans="1:8" ht="13">
      <c r="A945" s="7"/>
      <c r="B945" s="7"/>
      <c r="C945" s="7"/>
      <c r="D945" s="8"/>
      <c r="E945" s="8"/>
      <c r="F945" s="8"/>
      <c r="G945" s="8"/>
      <c r="H945" s="10"/>
    </row>
    <row r="946" spans="1:8" ht="13">
      <c r="A946" s="7"/>
      <c r="B946" s="7"/>
      <c r="C946" s="7"/>
      <c r="D946" s="8"/>
      <c r="E946" s="8"/>
      <c r="F946" s="8"/>
      <c r="G946" s="8"/>
      <c r="H946" s="10"/>
    </row>
    <row r="947" spans="1:8" ht="13">
      <c r="A947" s="7"/>
      <c r="B947" s="7"/>
      <c r="C947" s="7"/>
      <c r="D947" s="8"/>
      <c r="E947" s="8"/>
      <c r="F947" s="8"/>
      <c r="G947" s="8"/>
      <c r="H947" s="10"/>
    </row>
    <row r="948" spans="1:8" ht="13">
      <c r="A948" s="7"/>
      <c r="B948" s="7"/>
      <c r="C948" s="7"/>
      <c r="D948" s="8"/>
      <c r="E948" s="8"/>
      <c r="F948" s="8"/>
      <c r="G948" s="8"/>
      <c r="H948" s="10"/>
    </row>
    <row r="949" spans="1:8" ht="13">
      <c r="A949" s="7"/>
      <c r="B949" s="7"/>
      <c r="C949" s="7"/>
      <c r="D949" s="8"/>
      <c r="E949" s="8"/>
      <c r="F949" s="8"/>
      <c r="G949" s="8"/>
      <c r="H949" s="10"/>
    </row>
    <row r="950" spans="1:8" ht="13">
      <c r="A950" s="7"/>
      <c r="B950" s="7"/>
      <c r="C950" s="7"/>
      <c r="D950" s="8"/>
      <c r="E950" s="8"/>
      <c r="F950" s="8"/>
      <c r="G950" s="8"/>
      <c r="H950" s="10"/>
    </row>
    <row r="951" spans="1:8" ht="13">
      <c r="A951" s="7"/>
      <c r="B951" s="7"/>
      <c r="C951" s="7"/>
      <c r="D951" s="8"/>
      <c r="E951" s="8"/>
      <c r="F951" s="8"/>
      <c r="G951" s="8"/>
      <c r="H951" s="10"/>
    </row>
    <row r="952" spans="1:8" ht="13">
      <c r="A952" s="7"/>
      <c r="B952" s="7"/>
      <c r="C952" s="7"/>
      <c r="D952" s="8"/>
      <c r="E952" s="8"/>
      <c r="F952" s="8"/>
      <c r="G952" s="8"/>
      <c r="H952" s="10"/>
    </row>
    <row r="953" spans="1:8" ht="13">
      <c r="A953" s="7"/>
      <c r="B953" s="7"/>
      <c r="C953" s="7"/>
      <c r="D953" s="8"/>
      <c r="E953" s="8"/>
      <c r="F953" s="8"/>
      <c r="G953" s="8"/>
      <c r="H953" s="10"/>
    </row>
    <row r="954" spans="1:8" ht="13">
      <c r="A954" s="7"/>
      <c r="B954" s="7"/>
      <c r="C954" s="7"/>
      <c r="D954" s="8"/>
      <c r="E954" s="8"/>
      <c r="F954" s="8"/>
      <c r="G954" s="8"/>
      <c r="H954" s="10"/>
    </row>
    <row r="955" spans="1:8" ht="13">
      <c r="A955" s="7"/>
      <c r="B955" s="7"/>
      <c r="C955" s="7"/>
      <c r="D955" s="8"/>
      <c r="E955" s="8"/>
      <c r="F955" s="8"/>
      <c r="G955" s="8"/>
      <c r="H955" s="10"/>
    </row>
    <row r="956" spans="1:8" ht="13">
      <c r="A956" s="7"/>
      <c r="B956" s="7"/>
      <c r="C956" s="7"/>
      <c r="D956" s="8"/>
      <c r="E956" s="8"/>
      <c r="F956" s="8"/>
      <c r="G956" s="8"/>
      <c r="H956" s="10"/>
    </row>
    <row r="957" spans="1:8" ht="13">
      <c r="A957" s="7"/>
      <c r="B957" s="7"/>
      <c r="C957" s="7"/>
      <c r="D957" s="8"/>
      <c r="E957" s="8"/>
      <c r="F957" s="8"/>
      <c r="G957" s="8"/>
      <c r="H957" s="10"/>
    </row>
    <row r="958" spans="1:8" ht="13">
      <c r="A958" s="7"/>
      <c r="B958" s="7"/>
      <c r="C958" s="7"/>
      <c r="D958" s="8"/>
      <c r="E958" s="8"/>
      <c r="F958" s="8"/>
      <c r="G958" s="8"/>
      <c r="H958" s="10"/>
    </row>
    <row r="959" spans="1:8" ht="13">
      <c r="A959" s="7"/>
      <c r="B959" s="7"/>
      <c r="C959" s="7"/>
      <c r="D959" s="8"/>
      <c r="E959" s="8"/>
      <c r="F959" s="8"/>
      <c r="G959" s="8"/>
      <c r="H959" s="10"/>
    </row>
    <row r="960" spans="1:8" ht="13">
      <c r="A960" s="7"/>
      <c r="B960" s="7"/>
      <c r="C960" s="7"/>
      <c r="D960" s="8"/>
      <c r="E960" s="8"/>
      <c r="F960" s="8"/>
      <c r="G960" s="8"/>
      <c r="H960" s="10"/>
    </row>
    <row r="961" spans="1:8" ht="13">
      <c r="A961" s="7"/>
      <c r="B961" s="7"/>
      <c r="C961" s="7"/>
      <c r="D961" s="8"/>
      <c r="E961" s="8"/>
      <c r="F961" s="8"/>
      <c r="G961" s="8"/>
      <c r="H961" s="10"/>
    </row>
    <row r="962" spans="1:8" ht="13">
      <c r="A962" s="7"/>
      <c r="B962" s="7"/>
      <c r="C962" s="7"/>
      <c r="D962" s="8"/>
      <c r="E962" s="8"/>
      <c r="F962" s="8"/>
      <c r="G962" s="8"/>
      <c r="H962" s="10"/>
    </row>
    <row r="963" spans="1:8" ht="13">
      <c r="A963" s="7"/>
      <c r="B963" s="7"/>
      <c r="C963" s="7"/>
      <c r="D963" s="8"/>
      <c r="E963" s="8"/>
      <c r="F963" s="8"/>
      <c r="G963" s="8"/>
      <c r="H963" s="10"/>
    </row>
    <row r="964" spans="1:8" ht="13">
      <c r="A964" s="7"/>
      <c r="B964" s="7"/>
      <c r="C964" s="7"/>
      <c r="D964" s="8"/>
      <c r="E964" s="8"/>
      <c r="F964" s="8"/>
      <c r="G964" s="8"/>
      <c r="H964" s="10"/>
    </row>
    <row r="965" spans="1:8" ht="13">
      <c r="A965" s="7"/>
      <c r="B965" s="7"/>
      <c r="C965" s="7"/>
      <c r="D965" s="8"/>
      <c r="E965" s="8"/>
      <c r="F965" s="8"/>
      <c r="G965" s="8"/>
      <c r="H965" s="10"/>
    </row>
    <row r="966" spans="1:8" ht="13">
      <c r="A966" s="7"/>
      <c r="B966" s="7"/>
      <c r="C966" s="7"/>
      <c r="D966" s="8"/>
      <c r="E966" s="8"/>
      <c r="F966" s="8"/>
      <c r="G966" s="8"/>
      <c r="H966" s="10"/>
    </row>
    <row r="967" spans="1:8" ht="13">
      <c r="A967" s="7"/>
      <c r="B967" s="7"/>
      <c r="C967" s="7"/>
      <c r="D967" s="8"/>
      <c r="E967" s="8"/>
      <c r="F967" s="8"/>
      <c r="G967" s="8"/>
      <c r="H967" s="10"/>
    </row>
    <row r="968" spans="1:8" ht="13">
      <c r="A968" s="7"/>
      <c r="B968" s="7"/>
      <c r="C968" s="7"/>
      <c r="D968" s="8"/>
      <c r="E968" s="8"/>
      <c r="F968" s="8"/>
      <c r="G968" s="8"/>
      <c r="H968" s="10"/>
    </row>
    <row r="969" spans="1:8" ht="13">
      <c r="A969" s="7"/>
      <c r="B969" s="7"/>
      <c r="C969" s="7"/>
      <c r="D969" s="8"/>
      <c r="E969" s="8"/>
      <c r="F969" s="8"/>
      <c r="G969" s="8"/>
      <c r="H969" s="10"/>
    </row>
    <row r="970" spans="1:8" ht="13">
      <c r="A970" s="7"/>
      <c r="B970" s="7"/>
      <c r="C970" s="7"/>
      <c r="D970" s="8"/>
      <c r="E970" s="8"/>
      <c r="F970" s="8"/>
      <c r="G970" s="8"/>
      <c r="H970" s="10"/>
    </row>
    <row r="971" spans="1:8" ht="13">
      <c r="A971" s="7"/>
      <c r="B971" s="7"/>
      <c r="C971" s="7"/>
      <c r="D971" s="8"/>
      <c r="E971" s="8"/>
      <c r="F971" s="8"/>
      <c r="G971" s="8"/>
      <c r="H971" s="10"/>
    </row>
    <row r="972" spans="1:8" ht="13">
      <c r="A972" s="7"/>
      <c r="B972" s="7"/>
      <c r="C972" s="7"/>
      <c r="D972" s="8"/>
      <c r="E972" s="8"/>
      <c r="F972" s="8"/>
      <c r="G972" s="8"/>
      <c r="H972" s="10"/>
    </row>
    <row r="973" spans="1:8" ht="13">
      <c r="A973" s="7"/>
      <c r="B973" s="7"/>
      <c r="C973" s="7"/>
      <c r="D973" s="8"/>
      <c r="E973" s="8"/>
      <c r="F973" s="8"/>
      <c r="G973" s="8"/>
      <c r="H973" s="10"/>
    </row>
    <row r="974" spans="1:8" ht="13">
      <c r="A974" s="7"/>
      <c r="B974" s="7"/>
      <c r="C974" s="7"/>
      <c r="D974" s="8"/>
      <c r="E974" s="8"/>
      <c r="F974" s="8"/>
      <c r="G974" s="8"/>
      <c r="H974" s="10"/>
    </row>
    <row r="975" spans="1:8" ht="13">
      <c r="A975" s="7"/>
      <c r="B975" s="7"/>
      <c r="C975" s="7"/>
      <c r="D975" s="8"/>
      <c r="E975" s="8"/>
      <c r="F975" s="8"/>
      <c r="G975" s="8"/>
      <c r="H975" s="10"/>
    </row>
    <row r="976" spans="1:8" ht="13">
      <c r="A976" s="7"/>
      <c r="B976" s="7"/>
      <c r="C976" s="7"/>
      <c r="D976" s="8"/>
      <c r="E976" s="8"/>
      <c r="F976" s="8"/>
      <c r="G976" s="8"/>
      <c r="H976" s="10"/>
    </row>
    <row r="977" spans="1:8" ht="13">
      <c r="A977" s="7"/>
      <c r="B977" s="7"/>
      <c r="C977" s="7"/>
      <c r="D977" s="8"/>
      <c r="E977" s="8"/>
      <c r="F977" s="8"/>
      <c r="G977" s="8"/>
      <c r="H977" s="10"/>
    </row>
    <row r="978" spans="1:8" ht="13">
      <c r="A978" s="7"/>
      <c r="B978" s="7"/>
      <c r="C978" s="7"/>
      <c r="D978" s="8"/>
      <c r="E978" s="8"/>
      <c r="F978" s="8"/>
      <c r="G978" s="8"/>
      <c r="H978" s="10"/>
    </row>
    <row r="979" spans="1:8" ht="13">
      <c r="A979" s="7"/>
      <c r="B979" s="7"/>
      <c r="C979" s="7"/>
      <c r="D979" s="8"/>
      <c r="E979" s="8"/>
      <c r="F979" s="8"/>
      <c r="G979" s="8"/>
      <c r="H979" s="10"/>
    </row>
    <row r="980" spans="1:8" ht="13">
      <c r="A980" s="7"/>
      <c r="B980" s="7"/>
      <c r="C980" s="7"/>
      <c r="D980" s="8"/>
      <c r="E980" s="8"/>
      <c r="F980" s="8"/>
      <c r="G980" s="8"/>
      <c r="H980" s="10"/>
    </row>
    <row r="981" spans="1:8" ht="13">
      <c r="A981" s="7"/>
      <c r="B981" s="7"/>
      <c r="C981" s="7"/>
      <c r="D981" s="8"/>
      <c r="E981" s="8"/>
      <c r="F981" s="8"/>
      <c r="G981" s="8"/>
      <c r="H981" s="10"/>
    </row>
    <row r="982" spans="1:8" ht="13">
      <c r="A982" s="7"/>
      <c r="B982" s="7"/>
      <c r="C982" s="7"/>
      <c r="D982" s="8"/>
      <c r="E982" s="8"/>
      <c r="F982" s="8"/>
      <c r="G982" s="8"/>
      <c r="H982" s="10"/>
    </row>
    <row r="983" spans="1:8" ht="13">
      <c r="A983" s="7"/>
      <c r="B983" s="7"/>
      <c r="C983" s="7"/>
      <c r="D983" s="8"/>
      <c r="E983" s="8"/>
      <c r="F983" s="8"/>
      <c r="G983" s="8"/>
      <c r="H983" s="10"/>
    </row>
    <row r="984" spans="1:8" ht="13">
      <c r="A984" s="7"/>
      <c r="B984" s="7"/>
      <c r="C984" s="7"/>
      <c r="D984" s="8"/>
      <c r="E984" s="8"/>
      <c r="F984" s="8"/>
      <c r="G984" s="8"/>
      <c r="H984" s="10"/>
    </row>
    <row r="985" spans="1:8" ht="13">
      <c r="A985" s="7"/>
      <c r="B985" s="7"/>
      <c r="C985" s="7"/>
      <c r="D985" s="8"/>
      <c r="E985" s="8"/>
      <c r="F985" s="8"/>
      <c r="G985" s="8"/>
      <c r="H985" s="10"/>
    </row>
    <row r="986" spans="1:8" ht="13">
      <c r="A986" s="7"/>
      <c r="B986" s="7"/>
      <c r="C986" s="7"/>
      <c r="D986" s="8"/>
      <c r="E986" s="8"/>
      <c r="F986" s="8"/>
      <c r="G986" s="8"/>
      <c r="H986" s="10"/>
    </row>
    <row r="987" spans="1:8" ht="13">
      <c r="A987" s="7"/>
      <c r="B987" s="7"/>
      <c r="C987" s="7"/>
      <c r="D987" s="8"/>
      <c r="E987" s="8"/>
      <c r="F987" s="8"/>
      <c r="G987" s="8"/>
      <c r="H987" s="10"/>
    </row>
    <row r="988" spans="1:8" ht="13">
      <c r="A988" s="7"/>
      <c r="B988" s="7"/>
      <c r="C988" s="7"/>
      <c r="D988" s="8"/>
      <c r="E988" s="8"/>
      <c r="F988" s="8"/>
      <c r="G988" s="8"/>
      <c r="H988" s="10"/>
    </row>
    <row r="989" spans="1:8" ht="13">
      <c r="A989" s="7"/>
      <c r="B989" s="7"/>
      <c r="C989" s="7"/>
      <c r="D989" s="8"/>
      <c r="E989" s="8"/>
      <c r="F989" s="8"/>
      <c r="G989" s="8"/>
      <c r="H989" s="10"/>
    </row>
    <row r="990" spans="1:8" ht="13">
      <c r="A990" s="7"/>
      <c r="B990" s="7"/>
      <c r="C990" s="7"/>
      <c r="D990" s="8"/>
      <c r="E990" s="8"/>
      <c r="F990" s="8"/>
      <c r="G990" s="8"/>
      <c r="H990" s="10"/>
    </row>
    <row r="991" spans="1:8" ht="13">
      <c r="A991" s="7"/>
      <c r="B991" s="7"/>
      <c r="C991" s="7"/>
      <c r="D991" s="8"/>
      <c r="E991" s="8"/>
      <c r="F991" s="8"/>
      <c r="G991" s="8"/>
      <c r="H991" s="10"/>
    </row>
    <row r="992" spans="1:8" ht="13">
      <c r="A992" s="7"/>
      <c r="B992" s="7"/>
      <c r="C992" s="7"/>
      <c r="D992" s="8"/>
      <c r="E992" s="8"/>
      <c r="F992" s="8"/>
      <c r="G992" s="8"/>
      <c r="H992" s="10"/>
    </row>
    <row r="993" spans="1:8" ht="13">
      <c r="A993" s="7"/>
      <c r="B993" s="7"/>
      <c r="C993" s="7"/>
      <c r="D993" s="8"/>
      <c r="E993" s="8"/>
      <c r="F993" s="8"/>
      <c r="G993" s="8"/>
      <c r="H993" s="10"/>
    </row>
    <row r="994" spans="1:8" ht="13">
      <c r="A994" s="7"/>
      <c r="B994" s="7"/>
      <c r="C994" s="7"/>
      <c r="D994" s="8"/>
      <c r="E994" s="8"/>
      <c r="F994" s="8"/>
      <c r="G994" s="8"/>
      <c r="H994" s="10"/>
    </row>
    <row r="995" spans="1:8" ht="13">
      <c r="A995" s="7"/>
      <c r="B995" s="7"/>
      <c r="C995" s="7"/>
      <c r="D995" s="8"/>
      <c r="E995" s="8"/>
      <c r="F995" s="8"/>
      <c r="G995" s="8"/>
      <c r="H995" s="10"/>
    </row>
    <row r="996" spans="1:8" ht="13">
      <c r="A996" s="7"/>
      <c r="B996" s="7"/>
      <c r="C996" s="7"/>
      <c r="D996" s="8"/>
      <c r="E996" s="8"/>
      <c r="F996" s="8"/>
      <c r="G996" s="8"/>
      <c r="H996" s="10"/>
    </row>
    <row r="997" spans="1:8" ht="13">
      <c r="A997" s="7"/>
      <c r="B997" s="7"/>
      <c r="C997" s="7"/>
      <c r="D997" s="8"/>
      <c r="E997" s="8"/>
      <c r="F997" s="8"/>
      <c r="G997" s="8"/>
      <c r="H997" s="10"/>
    </row>
    <row r="998" spans="1:8" ht="13">
      <c r="A998" s="7"/>
      <c r="B998" s="7"/>
      <c r="C998" s="7"/>
      <c r="D998" s="8"/>
      <c r="E998" s="8"/>
      <c r="F998" s="8"/>
      <c r="G998" s="8"/>
      <c r="H998" s="10"/>
    </row>
    <row r="999" spans="1:8" ht="13">
      <c r="A999" s="7"/>
      <c r="B999" s="7"/>
      <c r="C999" s="7"/>
      <c r="D999" s="8"/>
      <c r="E999" s="8"/>
      <c r="F999" s="8"/>
      <c r="G999" s="8"/>
      <c r="H999" s="10"/>
    </row>
    <row r="1000" spans="1:8" ht="13">
      <c r="A1000" s="7"/>
      <c r="B1000" s="7"/>
      <c r="C1000" s="7"/>
      <c r="D1000" s="8"/>
      <c r="E1000" s="8"/>
      <c r="F1000" s="8"/>
      <c r="G1000" s="8"/>
      <c r="H1000" s="10"/>
    </row>
    <row r="1001" spans="1:8" ht="13">
      <c r="A1001" s="7"/>
      <c r="B1001" s="7"/>
      <c r="C1001" s="7"/>
      <c r="D1001" s="8"/>
      <c r="E1001" s="8"/>
      <c r="F1001" s="8"/>
      <c r="G1001" s="8"/>
      <c r="H1001" s="10"/>
    </row>
    <row r="1002" spans="1:8" ht="13">
      <c r="A1002" s="7"/>
      <c r="B1002" s="7"/>
      <c r="C1002" s="7"/>
      <c r="D1002" s="8"/>
      <c r="E1002" s="8"/>
      <c r="F1002" s="8"/>
      <c r="G1002" s="8"/>
      <c r="H1002" s="10"/>
    </row>
    <row r="1003" spans="1:8" ht="13">
      <c r="A1003" s="7"/>
      <c r="B1003" s="7"/>
      <c r="C1003" s="7"/>
      <c r="D1003" s="8"/>
      <c r="E1003" s="8"/>
      <c r="F1003" s="8"/>
      <c r="G1003" s="8"/>
      <c r="H1003" s="10"/>
    </row>
    <row r="1004" spans="1:8" ht="13">
      <c r="A1004" s="7"/>
      <c r="B1004" s="7"/>
      <c r="C1004" s="7"/>
      <c r="D1004" s="8"/>
      <c r="E1004" s="8"/>
      <c r="F1004" s="8"/>
      <c r="G1004" s="8"/>
      <c r="H1004" s="10"/>
    </row>
    <row r="1005" spans="1:8" ht="13">
      <c r="A1005" s="7"/>
      <c r="B1005" s="7"/>
      <c r="C1005" s="7"/>
      <c r="D1005" s="8"/>
      <c r="E1005" s="8"/>
      <c r="F1005" s="8"/>
      <c r="G1005" s="8"/>
      <c r="H1005" s="10"/>
    </row>
    <row r="1006" spans="1:8" ht="13">
      <c r="A1006" s="7"/>
      <c r="B1006" s="7"/>
      <c r="C1006" s="7"/>
      <c r="D1006" s="8"/>
      <c r="E1006" s="8"/>
      <c r="F1006" s="8"/>
      <c r="G1006" s="8"/>
      <c r="H1006" s="10"/>
    </row>
    <row r="1007" spans="1:8" ht="13">
      <c r="A1007" s="7"/>
      <c r="B1007" s="7"/>
      <c r="C1007" s="7"/>
      <c r="D1007" s="8"/>
      <c r="E1007" s="8"/>
      <c r="F1007" s="8"/>
      <c r="G1007" s="8"/>
      <c r="H1007" s="10"/>
    </row>
    <row r="1008" spans="1:8" ht="13">
      <c r="A1008" s="7"/>
      <c r="B1008" s="7"/>
      <c r="C1008" s="7"/>
      <c r="D1008" s="8"/>
      <c r="E1008" s="8"/>
      <c r="F1008" s="8"/>
      <c r="G1008" s="8"/>
      <c r="H1008" s="10"/>
    </row>
  </sheetData>
  <autoFilter ref="B3:H15" xr:uid="{00000000-0009-0000-0000-000000000000}"/>
  <mergeCells count="1">
    <mergeCell ref="B2:H2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"/>
  <sheetViews>
    <sheetView workbookViewId="0"/>
  </sheetViews>
  <sheetFormatPr defaultColWidth="12.54296875" defaultRowHeight="15.75" customHeight="1"/>
  <cols>
    <col min="1" max="1" width="14.453125" customWidth="1"/>
  </cols>
  <sheetData>
    <row r="1" spans="1:7" ht="13">
      <c r="A1" s="13"/>
      <c r="B1" s="16" t="s">
        <v>15</v>
      </c>
      <c r="C1" s="16" t="s">
        <v>17</v>
      </c>
      <c r="D1" s="16" t="s">
        <v>19</v>
      </c>
      <c r="E1" s="16" t="s">
        <v>20</v>
      </c>
      <c r="G1" s="17" t="s">
        <v>21</v>
      </c>
    </row>
    <row r="2" spans="1:7" ht="15.75" customHeight="1">
      <c r="A2" s="13" t="s">
        <v>22</v>
      </c>
      <c r="B2" s="18">
        <v>250000</v>
      </c>
      <c r="C2" s="18">
        <v>125000</v>
      </c>
      <c r="D2" s="18">
        <v>65000</v>
      </c>
      <c r="E2" s="18">
        <v>0</v>
      </c>
      <c r="G2" s="19">
        <v>0.1</v>
      </c>
    </row>
    <row r="3" spans="1:7" ht="15.75" customHeight="1">
      <c r="A3" s="13" t="s">
        <v>23</v>
      </c>
      <c r="B3" s="18">
        <v>3750</v>
      </c>
      <c r="C3" s="18">
        <v>9250</v>
      </c>
      <c r="D3" s="18">
        <v>12650</v>
      </c>
      <c r="E3" s="18">
        <f>15500</f>
        <v>15500</v>
      </c>
      <c r="G3" s="20" t="s">
        <v>24</v>
      </c>
    </row>
    <row r="4" spans="1:7" ht="13">
      <c r="A4" s="21" t="s">
        <v>25</v>
      </c>
      <c r="B4" s="22">
        <f t="shared" ref="B4:E4" si="0">B2+(B3*60)</f>
        <v>475000</v>
      </c>
      <c r="C4" s="22">
        <f t="shared" si="0"/>
        <v>680000</v>
      </c>
      <c r="D4" s="22">
        <f t="shared" si="0"/>
        <v>824000</v>
      </c>
      <c r="E4" s="22">
        <f t="shared" si="0"/>
        <v>930000</v>
      </c>
      <c r="G4" s="23">
        <f>(1+G2)^(1/12)-1</f>
        <v>7.9741404289037643E-3</v>
      </c>
    </row>
    <row r="7" spans="1:7" ht="15.75" customHeight="1">
      <c r="A7" s="20" t="s">
        <v>26</v>
      </c>
      <c r="B7" s="24">
        <f t="shared" ref="B7:E7" si="1">B3*(1-(1/(1+$G$4)^60))/$G$4</f>
        <v>178269.37601644386</v>
      </c>
      <c r="C7" s="24">
        <f t="shared" si="1"/>
        <v>439731.12750722811</v>
      </c>
      <c r="D7" s="24">
        <f t="shared" si="1"/>
        <v>601362.0284288039</v>
      </c>
      <c r="E7" s="24">
        <f t="shared" si="1"/>
        <v>736846.75420130126</v>
      </c>
    </row>
    <row r="8" spans="1:7" ht="15.75" customHeight="1">
      <c r="A8" s="20" t="s">
        <v>27</v>
      </c>
      <c r="B8" s="24">
        <f t="shared" ref="B8:E8" si="2">B7+B2</f>
        <v>428269.37601644383</v>
      </c>
      <c r="C8" s="24">
        <f t="shared" si="2"/>
        <v>564731.12750722817</v>
      </c>
      <c r="D8" s="24">
        <f t="shared" si="2"/>
        <v>666362.0284288039</v>
      </c>
      <c r="E8" s="24">
        <f t="shared" si="2"/>
        <v>736846.75420130126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Q289"/>
  <sheetViews>
    <sheetView showGridLines="0" workbookViewId="0">
      <pane ySplit="1" topLeftCell="A2" activePane="bottomLeft" state="frozen"/>
      <selection activeCell="D1" sqref="D1"/>
      <selection pane="bottomLeft" activeCell="B2" sqref="B2"/>
    </sheetView>
  </sheetViews>
  <sheetFormatPr defaultColWidth="12.54296875" defaultRowHeight="0" customHeight="1" zeroHeight="1"/>
  <cols>
    <col min="1" max="1" width="2" customWidth="1"/>
    <col min="2" max="2" width="11.54296875" customWidth="1"/>
    <col min="3" max="3" width="26.81640625" customWidth="1"/>
    <col min="4" max="4" width="13.453125" customWidth="1"/>
    <col min="5" max="5" width="11.54296875" customWidth="1"/>
    <col min="6" max="6" width="16.453125" customWidth="1"/>
    <col min="7" max="7" width="8.453125" customWidth="1"/>
    <col min="8" max="8" width="12.54296875" customWidth="1"/>
    <col min="9" max="9" width="10.54296875" customWidth="1"/>
    <col min="10" max="10" width="9.54296875" customWidth="1"/>
    <col min="11" max="11" width="13.1796875" style="197" customWidth="1"/>
    <col min="12" max="12" width="17.453125" customWidth="1"/>
    <col min="13" max="13" width="17.54296875" customWidth="1"/>
    <col min="14" max="14" width="8.81640625" bestFit="1" customWidth="1"/>
    <col min="15" max="15" width="6.453125" customWidth="1"/>
    <col min="16" max="16" width="13" customWidth="1"/>
    <col min="17" max="17" width="71.54296875" customWidth="1"/>
  </cols>
  <sheetData>
    <row r="1" spans="1:17" ht="26">
      <c r="A1" s="25"/>
      <c r="B1" s="26" t="s">
        <v>28</v>
      </c>
      <c r="C1" s="27" t="s">
        <v>29</v>
      </c>
      <c r="D1" s="29" t="s">
        <v>30</v>
      </c>
      <c r="E1" s="28" t="s">
        <v>31</v>
      </c>
      <c r="F1" s="29" t="s">
        <v>32</v>
      </c>
      <c r="G1" s="29" t="s">
        <v>33</v>
      </c>
      <c r="H1" s="29" t="s">
        <v>34</v>
      </c>
      <c r="I1" s="29" t="s">
        <v>35</v>
      </c>
      <c r="J1" s="29" t="s">
        <v>36</v>
      </c>
      <c r="K1" s="193" t="s">
        <v>37</v>
      </c>
      <c r="L1" s="30" t="s">
        <v>38</v>
      </c>
      <c r="M1" s="30" t="s">
        <v>39</v>
      </c>
      <c r="N1" s="30" t="s">
        <v>40</v>
      </c>
      <c r="O1" s="30" t="s">
        <v>41</v>
      </c>
      <c r="P1" s="30" t="s">
        <v>42</v>
      </c>
      <c r="Q1" s="31" t="s">
        <v>43</v>
      </c>
    </row>
    <row r="2" spans="1:17" ht="13">
      <c r="A2" s="25"/>
      <c r="B2" s="33" t="s">
        <v>44</v>
      </c>
      <c r="C2" s="36" t="s">
        <v>45</v>
      </c>
      <c r="D2" s="37" t="s">
        <v>46</v>
      </c>
      <c r="E2" s="41">
        <v>160</v>
      </c>
      <c r="F2" s="113" t="s">
        <v>47</v>
      </c>
      <c r="G2" s="36">
        <v>0</v>
      </c>
      <c r="H2" s="38" t="s">
        <v>48</v>
      </c>
      <c r="I2" s="37" t="s">
        <v>49</v>
      </c>
      <c r="J2" s="37" t="s">
        <v>50</v>
      </c>
      <c r="K2" s="194" t="s">
        <v>51</v>
      </c>
      <c r="L2" s="36">
        <v>2301102024</v>
      </c>
      <c r="M2" s="36" t="s">
        <v>52</v>
      </c>
      <c r="N2" s="36">
        <v>2550</v>
      </c>
      <c r="O2" s="36" t="s">
        <v>53</v>
      </c>
      <c r="P2" s="37" t="s">
        <v>54</v>
      </c>
      <c r="Q2" s="39"/>
    </row>
    <row r="3" spans="1:17" ht="13">
      <c r="A3" s="25"/>
      <c r="B3" s="33" t="s">
        <v>55</v>
      </c>
      <c r="C3" s="36" t="s">
        <v>56</v>
      </c>
      <c r="D3" s="37" t="s">
        <v>57</v>
      </c>
      <c r="E3" s="205" t="s">
        <v>58</v>
      </c>
      <c r="F3" s="113" t="s">
        <v>59</v>
      </c>
      <c r="G3" s="36">
        <v>0</v>
      </c>
      <c r="H3" s="38" t="s">
        <v>48</v>
      </c>
      <c r="I3" s="37" t="s">
        <v>49</v>
      </c>
      <c r="J3" s="37" t="s">
        <v>50</v>
      </c>
      <c r="K3" s="194" t="s">
        <v>60</v>
      </c>
      <c r="L3" s="113" t="s">
        <v>61</v>
      </c>
      <c r="M3" s="113" t="s">
        <v>61</v>
      </c>
      <c r="N3" s="113" t="s">
        <v>60</v>
      </c>
      <c r="O3" s="36"/>
      <c r="P3" s="37" t="s">
        <v>62</v>
      </c>
      <c r="Q3" s="39" t="s">
        <v>63</v>
      </c>
    </row>
    <row r="4" spans="1:17" ht="13">
      <c r="A4" s="25"/>
      <c r="B4" s="33" t="s">
        <v>64</v>
      </c>
      <c r="C4" s="36" t="s">
        <v>45</v>
      </c>
      <c r="D4" s="37" t="s">
        <v>46</v>
      </c>
      <c r="E4" s="41">
        <v>160</v>
      </c>
      <c r="F4" s="113" t="s">
        <v>47</v>
      </c>
      <c r="G4" s="36">
        <v>0</v>
      </c>
      <c r="H4" s="38" t="s">
        <v>48</v>
      </c>
      <c r="I4" s="37" t="s">
        <v>49</v>
      </c>
      <c r="J4" s="37" t="s">
        <v>50</v>
      </c>
      <c r="K4" s="194" t="s">
        <v>65</v>
      </c>
      <c r="L4" s="36" t="s">
        <v>431</v>
      </c>
      <c r="M4" s="36" t="s">
        <v>431</v>
      </c>
      <c r="N4" s="36" t="s">
        <v>431</v>
      </c>
      <c r="O4" s="36" t="s">
        <v>431</v>
      </c>
      <c r="P4" s="37" t="s">
        <v>54</v>
      </c>
      <c r="Q4" s="39"/>
    </row>
    <row r="5" spans="1:17" ht="13">
      <c r="A5" s="32"/>
      <c r="B5" s="33" t="s">
        <v>66</v>
      </c>
      <c r="C5" s="36" t="s">
        <v>67</v>
      </c>
      <c r="D5" s="37" t="s">
        <v>46</v>
      </c>
      <c r="E5" s="41">
        <v>128</v>
      </c>
      <c r="F5" s="35" t="s">
        <v>68</v>
      </c>
      <c r="G5" s="35">
        <v>0</v>
      </c>
      <c r="H5" s="38" t="s">
        <v>48</v>
      </c>
      <c r="I5" s="37" t="s">
        <v>49</v>
      </c>
      <c r="J5" s="37" t="s">
        <v>50</v>
      </c>
      <c r="K5" s="194" t="s">
        <v>60</v>
      </c>
      <c r="L5" s="113" t="s">
        <v>61</v>
      </c>
      <c r="M5" s="113" t="s">
        <v>61</v>
      </c>
      <c r="N5" s="113" t="s">
        <v>60</v>
      </c>
      <c r="O5" s="113"/>
      <c r="P5" s="37" t="s">
        <v>69</v>
      </c>
      <c r="Q5" s="39"/>
    </row>
    <row r="6" spans="1:17" ht="13">
      <c r="A6" s="32"/>
      <c r="B6" s="40" t="s">
        <v>70</v>
      </c>
      <c r="C6" s="36" t="s">
        <v>67</v>
      </c>
      <c r="D6" s="37" t="s">
        <v>46</v>
      </c>
      <c r="E6" s="41">
        <v>128</v>
      </c>
      <c r="F6" s="35" t="s">
        <v>68</v>
      </c>
      <c r="G6" s="35">
        <v>0</v>
      </c>
      <c r="H6" s="38" t="s">
        <v>48</v>
      </c>
      <c r="I6" s="37" t="s">
        <v>49</v>
      </c>
      <c r="J6" s="42" t="s">
        <v>50</v>
      </c>
      <c r="K6" s="194" t="s">
        <v>71</v>
      </c>
      <c r="L6" s="36" t="s">
        <v>4654</v>
      </c>
      <c r="M6" s="36" t="s">
        <v>13</v>
      </c>
      <c r="N6" s="36">
        <v>2000</v>
      </c>
      <c r="O6" s="36" t="s">
        <v>53</v>
      </c>
      <c r="P6" s="37" t="s">
        <v>69</v>
      </c>
      <c r="Q6" s="39"/>
    </row>
    <row r="7" spans="1:17" ht="13">
      <c r="A7" s="32"/>
      <c r="B7" s="40" t="s">
        <v>72</v>
      </c>
      <c r="C7" s="36" t="s">
        <v>73</v>
      </c>
      <c r="D7" s="37" t="s">
        <v>74</v>
      </c>
      <c r="E7" s="41">
        <v>0</v>
      </c>
      <c r="F7" s="35"/>
      <c r="G7" s="35">
        <v>0</v>
      </c>
      <c r="H7" s="38" t="s">
        <v>48</v>
      </c>
      <c r="I7" s="37" t="s">
        <v>49</v>
      </c>
      <c r="J7" s="42" t="s">
        <v>50</v>
      </c>
      <c r="K7" s="194" t="s">
        <v>60</v>
      </c>
      <c r="L7" s="113" t="s">
        <v>61</v>
      </c>
      <c r="M7" s="113" t="s">
        <v>61</v>
      </c>
      <c r="N7" s="113" t="s">
        <v>60</v>
      </c>
      <c r="O7" s="113"/>
      <c r="P7" s="37" t="s">
        <v>62</v>
      </c>
      <c r="Q7" s="39"/>
    </row>
    <row r="8" spans="1:17" ht="13">
      <c r="A8" s="32"/>
      <c r="B8" s="40" t="s">
        <v>75</v>
      </c>
      <c r="C8" s="36" t="s">
        <v>76</v>
      </c>
      <c r="D8" s="37" t="s">
        <v>46</v>
      </c>
      <c r="E8" s="41">
        <v>128</v>
      </c>
      <c r="F8" s="35" t="s">
        <v>59</v>
      </c>
      <c r="G8" s="42">
        <v>1</v>
      </c>
      <c r="H8" s="146" t="s">
        <v>77</v>
      </c>
      <c r="I8" s="42" t="s">
        <v>78</v>
      </c>
      <c r="J8" s="42" t="s">
        <v>79</v>
      </c>
      <c r="K8" s="194" t="s">
        <v>80</v>
      </c>
      <c r="L8" s="36">
        <v>2406041</v>
      </c>
      <c r="M8" s="36" t="s">
        <v>81</v>
      </c>
      <c r="N8" s="36">
        <v>2600</v>
      </c>
      <c r="O8" s="36" t="s">
        <v>82</v>
      </c>
      <c r="P8" s="37" t="s">
        <v>54</v>
      </c>
      <c r="Q8" s="39"/>
    </row>
    <row r="9" spans="1:17" ht="13">
      <c r="A9" s="32"/>
      <c r="B9" s="40" t="s">
        <v>83</v>
      </c>
      <c r="C9" s="36" t="s">
        <v>76</v>
      </c>
      <c r="D9" s="37" t="s">
        <v>46</v>
      </c>
      <c r="E9" s="41">
        <v>128</v>
      </c>
      <c r="F9" s="35" t="s">
        <v>59</v>
      </c>
      <c r="G9" s="42">
        <v>1</v>
      </c>
      <c r="H9" s="146" t="s">
        <v>77</v>
      </c>
      <c r="I9" s="42" t="s">
        <v>78</v>
      </c>
      <c r="J9" s="42" t="s">
        <v>79</v>
      </c>
      <c r="K9" s="194" t="s">
        <v>60</v>
      </c>
      <c r="L9" s="113" t="s">
        <v>61</v>
      </c>
      <c r="M9" s="113" t="s">
        <v>61</v>
      </c>
      <c r="N9" s="113" t="s">
        <v>60</v>
      </c>
      <c r="O9" s="113"/>
      <c r="P9" s="37" t="s">
        <v>54</v>
      </c>
      <c r="Q9" s="39"/>
    </row>
    <row r="10" spans="1:17" ht="13">
      <c r="A10" s="32"/>
      <c r="B10" s="40" t="s">
        <v>84</v>
      </c>
      <c r="C10" s="36" t="s">
        <v>76</v>
      </c>
      <c r="D10" s="37" t="s">
        <v>46</v>
      </c>
      <c r="E10" s="41">
        <v>128</v>
      </c>
      <c r="F10" s="35" t="s">
        <v>59</v>
      </c>
      <c r="G10" s="42">
        <v>1</v>
      </c>
      <c r="H10" s="146" t="s">
        <v>77</v>
      </c>
      <c r="I10" s="42" t="s">
        <v>85</v>
      </c>
      <c r="J10" s="42" t="s">
        <v>79</v>
      </c>
      <c r="K10" s="194" t="s">
        <v>86</v>
      </c>
      <c r="L10" s="36">
        <v>2406040</v>
      </c>
      <c r="M10" s="36" t="s">
        <v>81</v>
      </c>
      <c r="N10" s="36">
        <v>2600</v>
      </c>
      <c r="O10" s="36" t="s">
        <v>82</v>
      </c>
      <c r="P10" s="37" t="s">
        <v>54</v>
      </c>
      <c r="Q10" s="39"/>
    </row>
    <row r="11" spans="1:17" ht="13">
      <c r="A11" s="32"/>
      <c r="B11" s="40" t="s">
        <v>87</v>
      </c>
      <c r="C11" s="36" t="s">
        <v>76</v>
      </c>
      <c r="D11" s="37" t="s">
        <v>46</v>
      </c>
      <c r="E11" s="41">
        <v>128</v>
      </c>
      <c r="F11" s="35" t="s">
        <v>59</v>
      </c>
      <c r="G11" s="42">
        <v>1</v>
      </c>
      <c r="H11" s="146" t="s">
        <v>77</v>
      </c>
      <c r="I11" s="42" t="s">
        <v>85</v>
      </c>
      <c r="J11" s="42" t="s">
        <v>79</v>
      </c>
      <c r="K11" s="194" t="s">
        <v>60</v>
      </c>
      <c r="L11" s="113" t="s">
        <v>61</v>
      </c>
      <c r="M11" s="113" t="s">
        <v>61</v>
      </c>
      <c r="N11" s="113" t="s">
        <v>60</v>
      </c>
      <c r="O11" s="113"/>
      <c r="P11" s="37" t="s">
        <v>54</v>
      </c>
      <c r="Q11" s="39"/>
    </row>
    <row r="12" spans="1:17" ht="13">
      <c r="A12" s="32"/>
      <c r="B12" s="40" t="s">
        <v>88</v>
      </c>
      <c r="C12" s="36" t="s">
        <v>76</v>
      </c>
      <c r="D12" s="37" t="s">
        <v>46</v>
      </c>
      <c r="E12" s="41">
        <v>128</v>
      </c>
      <c r="F12" s="35" t="s">
        <v>59</v>
      </c>
      <c r="G12" s="42">
        <v>1</v>
      </c>
      <c r="H12" s="146" t="s">
        <v>77</v>
      </c>
      <c r="I12" s="42" t="s">
        <v>85</v>
      </c>
      <c r="J12" s="42" t="s">
        <v>79</v>
      </c>
      <c r="K12" s="194" t="s">
        <v>89</v>
      </c>
      <c r="L12" s="36">
        <v>2406072</v>
      </c>
      <c r="M12" s="36" t="s">
        <v>81</v>
      </c>
      <c r="N12" s="36">
        <v>2600</v>
      </c>
      <c r="O12" s="36" t="s">
        <v>82</v>
      </c>
      <c r="P12" s="37" t="s">
        <v>54</v>
      </c>
      <c r="Q12" s="39"/>
    </row>
    <row r="13" spans="1:17" ht="13">
      <c r="A13" s="32"/>
      <c r="B13" s="40" t="s">
        <v>90</v>
      </c>
      <c r="C13" s="36" t="s">
        <v>76</v>
      </c>
      <c r="D13" s="37" t="s">
        <v>46</v>
      </c>
      <c r="E13" s="41">
        <v>128</v>
      </c>
      <c r="F13" s="35" t="s">
        <v>59</v>
      </c>
      <c r="G13" s="35">
        <v>1</v>
      </c>
      <c r="H13" s="146" t="s">
        <v>77</v>
      </c>
      <c r="I13" s="42" t="s">
        <v>85</v>
      </c>
      <c r="J13" s="42" t="s">
        <v>79</v>
      </c>
      <c r="K13" s="194" t="s">
        <v>60</v>
      </c>
      <c r="L13" s="113" t="s">
        <v>61</v>
      </c>
      <c r="M13" s="113" t="s">
        <v>61</v>
      </c>
      <c r="N13" s="113" t="s">
        <v>60</v>
      </c>
      <c r="O13" s="113"/>
      <c r="P13" s="37" t="s">
        <v>54</v>
      </c>
      <c r="Q13" s="44"/>
    </row>
    <row r="14" spans="1:17" ht="13">
      <c r="A14" s="32"/>
      <c r="B14" s="40" t="s">
        <v>91</v>
      </c>
      <c r="C14" s="36" t="s">
        <v>76</v>
      </c>
      <c r="D14" s="37" t="s">
        <v>46</v>
      </c>
      <c r="E14" s="41">
        <v>128</v>
      </c>
      <c r="F14" s="35" t="s">
        <v>59</v>
      </c>
      <c r="G14" s="35" t="s">
        <v>92</v>
      </c>
      <c r="H14" s="146" t="s">
        <v>93</v>
      </c>
      <c r="I14" s="42" t="s">
        <v>94</v>
      </c>
      <c r="J14" s="42" t="s">
        <v>79</v>
      </c>
      <c r="K14" s="194" t="s">
        <v>95</v>
      </c>
      <c r="L14" s="36" t="s">
        <v>96</v>
      </c>
      <c r="M14" s="36" t="s">
        <v>97</v>
      </c>
      <c r="N14" s="36">
        <v>2600</v>
      </c>
      <c r="O14" s="36" t="s">
        <v>53</v>
      </c>
      <c r="P14" s="37" t="s">
        <v>54</v>
      </c>
      <c r="Q14" s="39"/>
    </row>
    <row r="15" spans="1:17" ht="13">
      <c r="A15" s="32"/>
      <c r="B15" s="40" t="s">
        <v>98</v>
      </c>
      <c r="C15" s="36" t="s">
        <v>76</v>
      </c>
      <c r="D15" s="37" t="s">
        <v>46</v>
      </c>
      <c r="E15" s="41">
        <v>128</v>
      </c>
      <c r="F15" s="35" t="s">
        <v>59</v>
      </c>
      <c r="G15" s="35" t="s">
        <v>92</v>
      </c>
      <c r="H15" s="146" t="s">
        <v>93</v>
      </c>
      <c r="I15" s="42" t="s">
        <v>94</v>
      </c>
      <c r="J15" s="42" t="s">
        <v>79</v>
      </c>
      <c r="K15" s="194" t="s">
        <v>60</v>
      </c>
      <c r="L15" s="113" t="s">
        <v>61</v>
      </c>
      <c r="M15" s="113" t="s">
        <v>61</v>
      </c>
      <c r="N15" s="113" t="s">
        <v>60</v>
      </c>
      <c r="O15" s="113"/>
      <c r="P15" s="37" t="s">
        <v>54</v>
      </c>
      <c r="Q15" s="39"/>
    </row>
    <row r="16" spans="1:17" ht="13">
      <c r="A16" s="32"/>
      <c r="B16" s="40" t="s">
        <v>99</v>
      </c>
      <c r="C16" s="36" t="s">
        <v>76</v>
      </c>
      <c r="D16" s="37" t="s">
        <v>46</v>
      </c>
      <c r="E16" s="41">
        <v>128</v>
      </c>
      <c r="F16" s="35" t="s">
        <v>59</v>
      </c>
      <c r="G16" s="35" t="s">
        <v>92</v>
      </c>
      <c r="H16" s="146" t="s">
        <v>93</v>
      </c>
      <c r="I16" s="42" t="s">
        <v>94</v>
      </c>
      <c r="J16" s="42" t="s">
        <v>79</v>
      </c>
      <c r="K16" s="194" t="s">
        <v>100</v>
      </c>
      <c r="L16" s="36" t="s">
        <v>101</v>
      </c>
      <c r="M16" s="36" t="s">
        <v>97</v>
      </c>
      <c r="N16" s="36">
        <v>2600</v>
      </c>
      <c r="O16" s="36" t="s">
        <v>53</v>
      </c>
      <c r="P16" s="37" t="s">
        <v>54</v>
      </c>
      <c r="Q16" s="39"/>
    </row>
    <row r="17" spans="1:17" ht="13">
      <c r="A17" s="32"/>
      <c r="B17" s="40" t="s">
        <v>102</v>
      </c>
      <c r="C17" s="36" t="s">
        <v>103</v>
      </c>
      <c r="D17" s="37" t="s">
        <v>46</v>
      </c>
      <c r="E17" s="41">
        <v>128</v>
      </c>
      <c r="F17" s="35" t="s">
        <v>59</v>
      </c>
      <c r="G17" s="35" t="s">
        <v>92</v>
      </c>
      <c r="H17" s="146" t="s">
        <v>93</v>
      </c>
      <c r="I17" s="42" t="s">
        <v>94</v>
      </c>
      <c r="J17" s="42" t="s">
        <v>79</v>
      </c>
      <c r="K17" s="194" t="s">
        <v>60</v>
      </c>
      <c r="L17" s="113" t="s">
        <v>61</v>
      </c>
      <c r="M17" s="113" t="s">
        <v>61</v>
      </c>
      <c r="N17" s="113" t="s">
        <v>60</v>
      </c>
      <c r="O17" s="113"/>
      <c r="P17" s="37" t="s">
        <v>54</v>
      </c>
      <c r="Q17" s="39"/>
    </row>
    <row r="18" spans="1:17" ht="13">
      <c r="A18" s="32"/>
      <c r="B18" s="40" t="s">
        <v>104</v>
      </c>
      <c r="C18" s="36" t="s">
        <v>105</v>
      </c>
      <c r="D18" s="37" t="s">
        <v>57</v>
      </c>
      <c r="E18" s="41">
        <v>0</v>
      </c>
      <c r="F18" s="35"/>
      <c r="G18" s="35">
        <v>0</v>
      </c>
      <c r="H18" s="38" t="s">
        <v>106</v>
      </c>
      <c r="I18" s="37" t="s">
        <v>107</v>
      </c>
      <c r="J18" s="37" t="s">
        <v>50</v>
      </c>
      <c r="K18" s="194" t="s">
        <v>108</v>
      </c>
      <c r="L18" s="36" t="s">
        <v>109</v>
      </c>
      <c r="M18" s="36" t="s">
        <v>13</v>
      </c>
      <c r="N18" s="36">
        <v>2000</v>
      </c>
      <c r="O18" s="36" t="s">
        <v>82</v>
      </c>
      <c r="P18" s="37" t="s">
        <v>62</v>
      </c>
      <c r="Q18" s="39"/>
    </row>
    <row r="19" spans="1:17" ht="13">
      <c r="A19" s="32"/>
      <c r="B19" s="40" t="s">
        <v>110</v>
      </c>
      <c r="C19" s="36" t="s">
        <v>111</v>
      </c>
      <c r="D19" s="37" t="s">
        <v>57</v>
      </c>
      <c r="E19" s="41">
        <v>0</v>
      </c>
      <c r="F19" s="35"/>
      <c r="G19" s="35">
        <v>0</v>
      </c>
      <c r="H19" s="38" t="s">
        <v>106</v>
      </c>
      <c r="I19" s="37" t="s">
        <v>107</v>
      </c>
      <c r="J19" s="37" t="s">
        <v>50</v>
      </c>
      <c r="K19" s="194" t="s">
        <v>60</v>
      </c>
      <c r="L19" s="113" t="s">
        <v>61</v>
      </c>
      <c r="M19" s="113" t="s">
        <v>61</v>
      </c>
      <c r="N19" s="113" t="s">
        <v>60</v>
      </c>
      <c r="O19" s="113"/>
      <c r="P19" s="37" t="s">
        <v>62</v>
      </c>
      <c r="Q19" s="39"/>
    </row>
    <row r="20" spans="1:17" ht="13">
      <c r="A20" s="32"/>
      <c r="B20" s="40" t="s">
        <v>112</v>
      </c>
      <c r="C20" s="36" t="s">
        <v>113</v>
      </c>
      <c r="D20" s="37" t="s">
        <v>46</v>
      </c>
      <c r="E20" s="41">
        <v>0</v>
      </c>
      <c r="F20" s="35"/>
      <c r="G20" s="35">
        <v>0</v>
      </c>
      <c r="H20" s="38" t="s">
        <v>114</v>
      </c>
      <c r="I20" s="37" t="s">
        <v>115</v>
      </c>
      <c r="J20" s="37" t="s">
        <v>50</v>
      </c>
      <c r="K20" s="194" t="s">
        <v>116</v>
      </c>
      <c r="L20" s="36" t="s">
        <v>117</v>
      </c>
      <c r="M20" s="36" t="s">
        <v>13</v>
      </c>
      <c r="N20" s="36">
        <v>2000</v>
      </c>
      <c r="O20" s="36" t="s">
        <v>82</v>
      </c>
      <c r="P20" s="37" t="s">
        <v>62</v>
      </c>
      <c r="Q20" s="44"/>
    </row>
    <row r="21" spans="1:17" ht="13">
      <c r="A21" s="32"/>
      <c r="B21" s="40" t="s">
        <v>118</v>
      </c>
      <c r="C21" s="36" t="s">
        <v>119</v>
      </c>
      <c r="D21" s="37" t="s">
        <v>46</v>
      </c>
      <c r="E21" s="41">
        <v>160</v>
      </c>
      <c r="F21" s="35" t="s">
        <v>47</v>
      </c>
      <c r="G21" s="35">
        <v>0</v>
      </c>
      <c r="H21" s="38" t="s">
        <v>114</v>
      </c>
      <c r="I21" s="37" t="s">
        <v>115</v>
      </c>
      <c r="J21" s="37" t="s">
        <v>50</v>
      </c>
      <c r="K21" s="194" t="s">
        <v>60</v>
      </c>
      <c r="L21" s="113" t="s">
        <v>61</v>
      </c>
      <c r="M21" s="113" t="s">
        <v>61</v>
      </c>
      <c r="N21" s="113" t="s">
        <v>60</v>
      </c>
      <c r="O21" s="113"/>
      <c r="P21" s="37" t="s">
        <v>54</v>
      </c>
      <c r="Q21" s="39"/>
    </row>
    <row r="22" spans="1:17" ht="13">
      <c r="A22" s="32"/>
      <c r="B22" s="40" t="s">
        <v>120</v>
      </c>
      <c r="C22" s="36" t="s">
        <v>76</v>
      </c>
      <c r="D22" s="37" t="s">
        <v>46</v>
      </c>
      <c r="E22" s="41">
        <v>128</v>
      </c>
      <c r="F22" s="35" t="s">
        <v>59</v>
      </c>
      <c r="G22" s="35">
        <v>1</v>
      </c>
      <c r="H22" s="146" t="s">
        <v>77</v>
      </c>
      <c r="I22" s="42" t="s">
        <v>78</v>
      </c>
      <c r="J22" s="42" t="s">
        <v>79</v>
      </c>
      <c r="K22" s="194" t="s">
        <v>121</v>
      </c>
      <c r="L22" s="36">
        <v>2406081</v>
      </c>
      <c r="M22" s="36" t="s">
        <v>81</v>
      </c>
      <c r="N22" s="36">
        <v>2600</v>
      </c>
      <c r="O22" s="36" t="s">
        <v>82</v>
      </c>
      <c r="P22" s="37" t="s">
        <v>54</v>
      </c>
      <c r="Q22" s="44"/>
    </row>
    <row r="23" spans="1:17" ht="13">
      <c r="A23" s="32"/>
      <c r="B23" s="40" t="s">
        <v>122</v>
      </c>
      <c r="C23" s="36" t="s">
        <v>76</v>
      </c>
      <c r="D23" s="37" t="s">
        <v>46</v>
      </c>
      <c r="E23" s="41">
        <v>128</v>
      </c>
      <c r="F23" s="35" t="s">
        <v>59</v>
      </c>
      <c r="G23" s="35">
        <v>1</v>
      </c>
      <c r="H23" s="146" t="s">
        <v>77</v>
      </c>
      <c r="I23" s="42" t="s">
        <v>78</v>
      </c>
      <c r="J23" s="42" t="s">
        <v>79</v>
      </c>
      <c r="K23" s="194" t="s">
        <v>60</v>
      </c>
      <c r="L23" s="113" t="s">
        <v>61</v>
      </c>
      <c r="M23" s="113" t="s">
        <v>61</v>
      </c>
      <c r="N23" s="113" t="s">
        <v>60</v>
      </c>
      <c r="O23" s="113"/>
      <c r="P23" s="37" t="s">
        <v>54</v>
      </c>
      <c r="Q23" s="39"/>
    </row>
    <row r="24" spans="1:17" ht="13">
      <c r="A24" s="32"/>
      <c r="B24" s="40" t="s">
        <v>123</v>
      </c>
      <c r="C24" s="36" t="s">
        <v>76</v>
      </c>
      <c r="D24" s="37" t="s">
        <v>46</v>
      </c>
      <c r="E24" s="41">
        <v>128</v>
      </c>
      <c r="F24" s="35" t="s">
        <v>59</v>
      </c>
      <c r="G24" s="35">
        <v>1</v>
      </c>
      <c r="H24" s="146" t="s">
        <v>77</v>
      </c>
      <c r="I24" s="42" t="s">
        <v>85</v>
      </c>
      <c r="J24" s="42" t="s">
        <v>79</v>
      </c>
      <c r="K24" s="194" t="s">
        <v>124</v>
      </c>
      <c r="L24" s="36">
        <v>2406094</v>
      </c>
      <c r="M24" s="36" t="s">
        <v>81</v>
      </c>
      <c r="N24" s="36">
        <v>2600</v>
      </c>
      <c r="O24" s="36" t="s">
        <v>82</v>
      </c>
      <c r="P24" s="37" t="s">
        <v>54</v>
      </c>
      <c r="Q24" s="39"/>
    </row>
    <row r="25" spans="1:17" ht="13">
      <c r="A25" s="32"/>
      <c r="B25" s="40" t="s">
        <v>125</v>
      </c>
      <c r="C25" s="36" t="s">
        <v>76</v>
      </c>
      <c r="D25" s="37" t="s">
        <v>46</v>
      </c>
      <c r="E25" s="41">
        <v>128</v>
      </c>
      <c r="F25" s="35" t="s">
        <v>59</v>
      </c>
      <c r="G25" s="35">
        <v>1</v>
      </c>
      <c r="H25" s="146" t="s">
        <v>77</v>
      </c>
      <c r="I25" s="42" t="s">
        <v>85</v>
      </c>
      <c r="J25" s="42" t="s">
        <v>79</v>
      </c>
      <c r="K25" s="194" t="s">
        <v>60</v>
      </c>
      <c r="L25" s="113" t="s">
        <v>61</v>
      </c>
      <c r="M25" s="113" t="s">
        <v>61</v>
      </c>
      <c r="N25" s="113" t="s">
        <v>60</v>
      </c>
      <c r="O25" s="113"/>
      <c r="P25" s="37" t="s">
        <v>54</v>
      </c>
      <c r="Q25" s="39"/>
    </row>
    <row r="26" spans="1:17" ht="13">
      <c r="A26" s="32"/>
      <c r="B26" s="40" t="s">
        <v>126</v>
      </c>
      <c r="C26" s="36" t="s">
        <v>76</v>
      </c>
      <c r="D26" s="37" t="s">
        <v>46</v>
      </c>
      <c r="E26" s="41">
        <v>128</v>
      </c>
      <c r="F26" s="35" t="s">
        <v>59</v>
      </c>
      <c r="G26" s="35">
        <v>1</v>
      </c>
      <c r="H26" s="146" t="s">
        <v>77</v>
      </c>
      <c r="I26" s="42" t="s">
        <v>85</v>
      </c>
      <c r="J26" s="42" t="s">
        <v>79</v>
      </c>
      <c r="K26" s="194" t="s">
        <v>127</v>
      </c>
      <c r="L26" s="36">
        <v>2406093</v>
      </c>
      <c r="M26" s="36" t="s">
        <v>81</v>
      </c>
      <c r="N26" s="36">
        <v>2600</v>
      </c>
      <c r="O26" s="36" t="s">
        <v>82</v>
      </c>
      <c r="P26" s="37" t="s">
        <v>54</v>
      </c>
      <c r="Q26" s="39"/>
    </row>
    <row r="27" spans="1:17" ht="13">
      <c r="A27" s="32"/>
      <c r="B27" s="40" t="s">
        <v>128</v>
      </c>
      <c r="C27" s="36" t="s">
        <v>76</v>
      </c>
      <c r="D27" s="37" t="s">
        <v>46</v>
      </c>
      <c r="E27" s="41">
        <v>128</v>
      </c>
      <c r="F27" s="35" t="s">
        <v>59</v>
      </c>
      <c r="G27" s="35">
        <v>1</v>
      </c>
      <c r="H27" s="146" t="s">
        <v>77</v>
      </c>
      <c r="I27" s="42" t="s">
        <v>85</v>
      </c>
      <c r="J27" s="42" t="s">
        <v>79</v>
      </c>
      <c r="K27" s="194" t="s">
        <v>60</v>
      </c>
      <c r="L27" s="113" t="s">
        <v>61</v>
      </c>
      <c r="M27" s="113" t="s">
        <v>61</v>
      </c>
      <c r="N27" s="113" t="s">
        <v>60</v>
      </c>
      <c r="O27" s="113"/>
      <c r="P27" s="37" t="s">
        <v>54</v>
      </c>
      <c r="Q27" s="39"/>
    </row>
    <row r="28" spans="1:17" ht="13">
      <c r="A28" s="32"/>
      <c r="B28" s="40" t="s">
        <v>129</v>
      </c>
      <c r="C28" s="36" t="s">
        <v>76</v>
      </c>
      <c r="D28" s="37" t="s">
        <v>46</v>
      </c>
      <c r="E28" s="41">
        <v>128</v>
      </c>
      <c r="F28" s="35" t="s">
        <v>59</v>
      </c>
      <c r="G28" s="35" t="s">
        <v>92</v>
      </c>
      <c r="H28" s="146" t="s">
        <v>93</v>
      </c>
      <c r="I28" s="42" t="s">
        <v>94</v>
      </c>
      <c r="J28" s="42" t="s">
        <v>79</v>
      </c>
      <c r="K28" s="194" t="s">
        <v>130</v>
      </c>
      <c r="L28" s="36" t="s">
        <v>131</v>
      </c>
      <c r="M28" s="36" t="s">
        <v>97</v>
      </c>
      <c r="N28" s="36">
        <v>2600</v>
      </c>
      <c r="O28" s="36" t="s">
        <v>53</v>
      </c>
      <c r="P28" s="37" t="s">
        <v>54</v>
      </c>
      <c r="Q28" s="39"/>
    </row>
    <row r="29" spans="1:17" ht="13">
      <c r="A29" s="32"/>
      <c r="B29" s="40" t="s">
        <v>132</v>
      </c>
      <c r="C29" s="36" t="s">
        <v>76</v>
      </c>
      <c r="D29" s="37" t="s">
        <v>46</v>
      </c>
      <c r="E29" s="41">
        <v>128</v>
      </c>
      <c r="F29" s="35" t="s">
        <v>59</v>
      </c>
      <c r="G29" s="35" t="s">
        <v>92</v>
      </c>
      <c r="H29" s="146" t="s">
        <v>93</v>
      </c>
      <c r="I29" s="42" t="s">
        <v>94</v>
      </c>
      <c r="J29" s="42" t="s">
        <v>79</v>
      </c>
      <c r="K29" s="194" t="s">
        <v>60</v>
      </c>
      <c r="L29" s="113" t="s">
        <v>61</v>
      </c>
      <c r="M29" s="113" t="s">
        <v>61</v>
      </c>
      <c r="N29" s="113" t="s">
        <v>60</v>
      </c>
      <c r="O29" s="113"/>
      <c r="P29" s="37" t="s">
        <v>54</v>
      </c>
      <c r="Q29" s="39"/>
    </row>
    <row r="30" spans="1:17" ht="13">
      <c r="A30" s="32"/>
      <c r="B30" s="40" t="s">
        <v>133</v>
      </c>
      <c r="C30" s="36" t="s">
        <v>76</v>
      </c>
      <c r="D30" s="37" t="s">
        <v>46</v>
      </c>
      <c r="E30" s="41">
        <v>128</v>
      </c>
      <c r="F30" s="35" t="s">
        <v>59</v>
      </c>
      <c r="G30" s="35" t="s">
        <v>92</v>
      </c>
      <c r="H30" s="146" t="s">
        <v>93</v>
      </c>
      <c r="I30" s="42" t="s">
        <v>94</v>
      </c>
      <c r="J30" s="42" t="s">
        <v>79</v>
      </c>
      <c r="K30" s="194" t="s">
        <v>134</v>
      </c>
      <c r="L30" s="36" t="s">
        <v>135</v>
      </c>
      <c r="M30" s="36" t="s">
        <v>97</v>
      </c>
      <c r="N30" s="36">
        <v>2600</v>
      </c>
      <c r="O30" s="36" t="s">
        <v>53</v>
      </c>
      <c r="P30" s="37" t="s">
        <v>54</v>
      </c>
      <c r="Q30" s="39"/>
    </row>
    <row r="31" spans="1:17" ht="13">
      <c r="A31" s="32"/>
      <c r="B31" s="40" t="s">
        <v>136</v>
      </c>
      <c r="C31" s="36" t="s">
        <v>76</v>
      </c>
      <c r="D31" s="37" t="s">
        <v>46</v>
      </c>
      <c r="E31" s="41">
        <v>128</v>
      </c>
      <c r="F31" s="35" t="s">
        <v>59</v>
      </c>
      <c r="G31" s="35" t="s">
        <v>92</v>
      </c>
      <c r="H31" s="146" t="s">
        <v>93</v>
      </c>
      <c r="I31" s="42" t="s">
        <v>94</v>
      </c>
      <c r="J31" s="42" t="s">
        <v>79</v>
      </c>
      <c r="K31" s="194" t="s">
        <v>60</v>
      </c>
      <c r="L31" s="113" t="s">
        <v>61</v>
      </c>
      <c r="M31" s="113" t="s">
        <v>61</v>
      </c>
      <c r="N31" s="113" t="s">
        <v>60</v>
      </c>
      <c r="O31" s="113"/>
      <c r="P31" s="37" t="s">
        <v>54</v>
      </c>
      <c r="Q31" s="39"/>
    </row>
    <row r="32" spans="1:17" ht="13">
      <c r="A32" s="32"/>
      <c r="B32" s="40" t="s">
        <v>137</v>
      </c>
      <c r="C32" s="36" t="s">
        <v>119</v>
      </c>
      <c r="D32" s="37" t="s">
        <v>46</v>
      </c>
      <c r="E32" s="41">
        <v>160</v>
      </c>
      <c r="F32" s="35" t="s">
        <v>47</v>
      </c>
      <c r="G32" s="35">
        <v>0</v>
      </c>
      <c r="H32" s="38" t="s">
        <v>106</v>
      </c>
      <c r="I32" s="37" t="s">
        <v>107</v>
      </c>
      <c r="J32" s="37" t="s">
        <v>50</v>
      </c>
      <c r="K32" s="194" t="s">
        <v>138</v>
      </c>
      <c r="L32" s="36" t="s">
        <v>139</v>
      </c>
      <c r="M32" s="36" t="s">
        <v>13</v>
      </c>
      <c r="N32" s="36">
        <v>2000</v>
      </c>
      <c r="O32" s="36" t="s">
        <v>82</v>
      </c>
      <c r="P32" s="37" t="s">
        <v>54</v>
      </c>
      <c r="Q32" s="39"/>
    </row>
    <row r="33" spans="1:17" ht="13">
      <c r="A33" s="32"/>
      <c r="B33" s="40" t="s">
        <v>140</v>
      </c>
      <c r="C33" s="36" t="s">
        <v>119</v>
      </c>
      <c r="D33" s="37" t="s">
        <v>46</v>
      </c>
      <c r="E33" s="41">
        <v>160</v>
      </c>
      <c r="F33" s="35" t="s">
        <v>47</v>
      </c>
      <c r="G33" s="35">
        <v>0</v>
      </c>
      <c r="H33" s="38" t="s">
        <v>106</v>
      </c>
      <c r="I33" s="37" t="s">
        <v>107</v>
      </c>
      <c r="J33" s="37" t="s">
        <v>50</v>
      </c>
      <c r="K33" s="194" t="s">
        <v>60</v>
      </c>
      <c r="L33" s="113" t="s">
        <v>61</v>
      </c>
      <c r="M33" s="113" t="s">
        <v>61</v>
      </c>
      <c r="N33" s="113" t="s">
        <v>60</v>
      </c>
      <c r="O33" s="113"/>
      <c r="P33" s="37" t="s">
        <v>54</v>
      </c>
      <c r="Q33" s="39"/>
    </row>
    <row r="34" spans="1:17" ht="13">
      <c r="A34" s="32"/>
      <c r="B34" s="40" t="s">
        <v>141</v>
      </c>
      <c r="C34" s="36" t="s">
        <v>119</v>
      </c>
      <c r="D34" s="37" t="s">
        <v>46</v>
      </c>
      <c r="E34" s="41">
        <v>160</v>
      </c>
      <c r="F34" s="35" t="s">
        <v>47</v>
      </c>
      <c r="G34" s="35">
        <v>0</v>
      </c>
      <c r="H34" s="38" t="s">
        <v>114</v>
      </c>
      <c r="I34" s="37" t="s">
        <v>115</v>
      </c>
      <c r="J34" s="37" t="s">
        <v>50</v>
      </c>
      <c r="K34" s="194" t="s">
        <v>142</v>
      </c>
      <c r="L34" s="36" t="s">
        <v>143</v>
      </c>
      <c r="M34" s="36" t="s">
        <v>13</v>
      </c>
      <c r="N34" s="36">
        <v>2000</v>
      </c>
      <c r="O34" s="36" t="s">
        <v>82</v>
      </c>
      <c r="P34" s="37" t="s">
        <v>54</v>
      </c>
      <c r="Q34" s="39"/>
    </row>
    <row r="35" spans="1:17" ht="13">
      <c r="A35" s="32"/>
      <c r="B35" s="40" t="s">
        <v>144</v>
      </c>
      <c r="C35" s="36" t="s">
        <v>119</v>
      </c>
      <c r="D35" s="37" t="s">
        <v>46</v>
      </c>
      <c r="E35" s="41">
        <v>160</v>
      </c>
      <c r="F35" s="35" t="s">
        <v>47</v>
      </c>
      <c r="G35" s="35">
        <v>0</v>
      </c>
      <c r="H35" s="38" t="s">
        <v>114</v>
      </c>
      <c r="I35" s="37" t="s">
        <v>115</v>
      </c>
      <c r="J35" s="37" t="s">
        <v>50</v>
      </c>
      <c r="K35" s="194" t="s">
        <v>60</v>
      </c>
      <c r="L35" s="113" t="s">
        <v>61</v>
      </c>
      <c r="M35" s="113" t="s">
        <v>61</v>
      </c>
      <c r="N35" s="113" t="s">
        <v>60</v>
      </c>
      <c r="O35" s="113"/>
      <c r="P35" s="37" t="s">
        <v>54</v>
      </c>
      <c r="Q35" s="39"/>
    </row>
    <row r="36" spans="1:17" ht="13">
      <c r="A36" s="32"/>
      <c r="B36" s="40" t="s">
        <v>145</v>
      </c>
      <c r="C36" s="36" t="s">
        <v>76</v>
      </c>
      <c r="D36" s="37" t="s">
        <v>46</v>
      </c>
      <c r="E36" s="41">
        <v>128</v>
      </c>
      <c r="F36" s="35" t="s">
        <v>59</v>
      </c>
      <c r="G36" s="35">
        <v>1</v>
      </c>
      <c r="H36" s="146" t="s">
        <v>77</v>
      </c>
      <c r="I36" s="42" t="s">
        <v>78</v>
      </c>
      <c r="J36" s="42" t="s">
        <v>79</v>
      </c>
      <c r="K36" s="194" t="s">
        <v>146</v>
      </c>
      <c r="L36" s="36">
        <v>2406097</v>
      </c>
      <c r="M36" s="36" t="s">
        <v>81</v>
      </c>
      <c r="N36" s="36">
        <v>2600</v>
      </c>
      <c r="O36" s="36" t="s">
        <v>82</v>
      </c>
      <c r="P36" s="37" t="s">
        <v>54</v>
      </c>
      <c r="Q36" s="39"/>
    </row>
    <row r="37" spans="1:17" ht="13">
      <c r="A37" s="32"/>
      <c r="B37" s="40" t="s">
        <v>147</v>
      </c>
      <c r="C37" s="36" t="s">
        <v>76</v>
      </c>
      <c r="D37" s="37" t="s">
        <v>46</v>
      </c>
      <c r="E37" s="41">
        <v>128</v>
      </c>
      <c r="F37" s="35" t="s">
        <v>59</v>
      </c>
      <c r="G37" s="35">
        <v>1</v>
      </c>
      <c r="H37" s="146" t="s">
        <v>77</v>
      </c>
      <c r="I37" s="42" t="s">
        <v>78</v>
      </c>
      <c r="J37" s="42" t="s">
        <v>79</v>
      </c>
      <c r="K37" s="194" t="s">
        <v>60</v>
      </c>
      <c r="L37" s="113" t="s">
        <v>61</v>
      </c>
      <c r="M37" s="113" t="s">
        <v>61</v>
      </c>
      <c r="N37" s="113" t="s">
        <v>60</v>
      </c>
      <c r="O37" s="113"/>
      <c r="P37" s="37" t="s">
        <v>54</v>
      </c>
      <c r="Q37" s="39"/>
    </row>
    <row r="38" spans="1:17" ht="13">
      <c r="A38" s="32"/>
      <c r="B38" s="40" t="s">
        <v>148</v>
      </c>
      <c r="C38" s="36" t="s">
        <v>76</v>
      </c>
      <c r="D38" s="37" t="s">
        <v>46</v>
      </c>
      <c r="E38" s="41">
        <v>128</v>
      </c>
      <c r="F38" s="35" t="s">
        <v>59</v>
      </c>
      <c r="G38" s="35">
        <v>1</v>
      </c>
      <c r="H38" s="146" t="s">
        <v>77</v>
      </c>
      <c r="I38" s="42" t="s">
        <v>85</v>
      </c>
      <c r="J38" s="42" t="s">
        <v>79</v>
      </c>
      <c r="K38" s="194" t="s">
        <v>149</v>
      </c>
      <c r="L38" s="36">
        <v>2406080</v>
      </c>
      <c r="M38" s="36" t="s">
        <v>81</v>
      </c>
      <c r="N38" s="36">
        <v>2600</v>
      </c>
      <c r="O38" s="36" t="s">
        <v>82</v>
      </c>
      <c r="P38" s="37" t="s">
        <v>54</v>
      </c>
      <c r="Q38" s="39"/>
    </row>
    <row r="39" spans="1:17" ht="13">
      <c r="A39" s="32"/>
      <c r="B39" s="40" t="s">
        <v>150</v>
      </c>
      <c r="C39" s="36" t="s">
        <v>76</v>
      </c>
      <c r="D39" s="37" t="s">
        <v>46</v>
      </c>
      <c r="E39" s="41">
        <v>128</v>
      </c>
      <c r="F39" s="35" t="s">
        <v>59</v>
      </c>
      <c r="G39" s="35">
        <v>1</v>
      </c>
      <c r="H39" s="146" t="s">
        <v>77</v>
      </c>
      <c r="I39" s="42" t="s">
        <v>85</v>
      </c>
      <c r="J39" s="42" t="s">
        <v>79</v>
      </c>
      <c r="K39" s="194" t="s">
        <v>60</v>
      </c>
      <c r="L39" s="113" t="s">
        <v>61</v>
      </c>
      <c r="M39" s="113" t="s">
        <v>61</v>
      </c>
      <c r="N39" s="113" t="s">
        <v>60</v>
      </c>
      <c r="O39" s="113"/>
      <c r="P39" s="37" t="s">
        <v>54</v>
      </c>
      <c r="Q39" s="39"/>
    </row>
    <row r="40" spans="1:17" ht="13">
      <c r="A40" s="32"/>
      <c r="B40" s="40" t="s">
        <v>151</v>
      </c>
      <c r="C40" s="36" t="s">
        <v>76</v>
      </c>
      <c r="D40" s="37" t="s">
        <v>46</v>
      </c>
      <c r="E40" s="41">
        <v>128</v>
      </c>
      <c r="F40" s="35" t="s">
        <v>59</v>
      </c>
      <c r="G40" s="35">
        <v>1</v>
      </c>
      <c r="H40" s="146" t="s">
        <v>77</v>
      </c>
      <c r="I40" s="42" t="s">
        <v>85</v>
      </c>
      <c r="J40" s="42" t="s">
        <v>79</v>
      </c>
      <c r="K40" s="194" t="s">
        <v>152</v>
      </c>
      <c r="L40" s="36">
        <v>2406046</v>
      </c>
      <c r="M40" s="36" t="s">
        <v>81</v>
      </c>
      <c r="N40" s="36">
        <v>2600</v>
      </c>
      <c r="O40" s="36" t="s">
        <v>82</v>
      </c>
      <c r="P40" s="37" t="s">
        <v>54</v>
      </c>
      <c r="Q40" s="39"/>
    </row>
    <row r="41" spans="1:17" ht="13">
      <c r="A41" s="32"/>
      <c r="B41" s="40" t="s">
        <v>153</v>
      </c>
      <c r="C41" s="36" t="s">
        <v>76</v>
      </c>
      <c r="D41" s="37" t="s">
        <v>46</v>
      </c>
      <c r="E41" s="41">
        <v>128</v>
      </c>
      <c r="F41" s="35" t="s">
        <v>59</v>
      </c>
      <c r="G41" s="35">
        <v>1</v>
      </c>
      <c r="H41" s="146" t="s">
        <v>77</v>
      </c>
      <c r="I41" s="42" t="s">
        <v>85</v>
      </c>
      <c r="J41" s="42" t="s">
        <v>79</v>
      </c>
      <c r="K41" s="194" t="s">
        <v>60</v>
      </c>
      <c r="L41" s="113" t="s">
        <v>61</v>
      </c>
      <c r="M41" s="113" t="s">
        <v>61</v>
      </c>
      <c r="N41" s="113" t="s">
        <v>60</v>
      </c>
      <c r="O41" s="113"/>
      <c r="P41" s="37" t="s">
        <v>54</v>
      </c>
      <c r="Q41" s="39"/>
    </row>
    <row r="42" spans="1:17" ht="13">
      <c r="A42" s="32"/>
      <c r="B42" s="40" t="s">
        <v>154</v>
      </c>
      <c r="C42" s="36" t="s">
        <v>76</v>
      </c>
      <c r="D42" s="37" t="s">
        <v>46</v>
      </c>
      <c r="E42" s="41">
        <v>128</v>
      </c>
      <c r="F42" s="35" t="s">
        <v>59</v>
      </c>
      <c r="G42" s="35" t="s">
        <v>92</v>
      </c>
      <c r="H42" s="146" t="s">
        <v>93</v>
      </c>
      <c r="I42" s="42" t="s">
        <v>94</v>
      </c>
      <c r="J42" s="42" t="s">
        <v>79</v>
      </c>
      <c r="K42" s="194" t="s">
        <v>155</v>
      </c>
      <c r="L42" s="36" t="s">
        <v>156</v>
      </c>
      <c r="M42" s="36" t="s">
        <v>97</v>
      </c>
      <c r="N42" s="36">
        <v>2600</v>
      </c>
      <c r="O42" s="36" t="s">
        <v>53</v>
      </c>
      <c r="P42" s="37" t="s">
        <v>54</v>
      </c>
      <c r="Q42" s="39"/>
    </row>
    <row r="43" spans="1:17" ht="13">
      <c r="A43" s="32"/>
      <c r="B43" s="40" t="s">
        <v>157</v>
      </c>
      <c r="C43" s="36" t="s">
        <v>76</v>
      </c>
      <c r="D43" s="37" t="s">
        <v>46</v>
      </c>
      <c r="E43" s="41">
        <v>128</v>
      </c>
      <c r="F43" s="35" t="s">
        <v>59</v>
      </c>
      <c r="G43" s="35" t="s">
        <v>92</v>
      </c>
      <c r="H43" s="146" t="s">
        <v>93</v>
      </c>
      <c r="I43" s="42" t="s">
        <v>94</v>
      </c>
      <c r="J43" s="42" t="s">
        <v>79</v>
      </c>
      <c r="K43" s="194" t="s">
        <v>60</v>
      </c>
      <c r="L43" s="113" t="s">
        <v>61</v>
      </c>
      <c r="M43" s="113" t="s">
        <v>61</v>
      </c>
      <c r="N43" s="113" t="s">
        <v>60</v>
      </c>
      <c r="O43" s="113"/>
      <c r="P43" s="37" t="s">
        <v>54</v>
      </c>
      <c r="Q43" s="39"/>
    </row>
    <row r="44" spans="1:17" ht="13">
      <c r="A44" s="32"/>
      <c r="B44" s="40" t="s">
        <v>158</v>
      </c>
      <c r="C44" s="36" t="s">
        <v>119</v>
      </c>
      <c r="D44" s="37" t="s">
        <v>46</v>
      </c>
      <c r="E44" s="41">
        <v>160</v>
      </c>
      <c r="F44" s="35" t="s">
        <v>47</v>
      </c>
      <c r="G44" s="35" t="s">
        <v>92</v>
      </c>
      <c r="H44" s="146" t="s">
        <v>93</v>
      </c>
      <c r="I44" s="42" t="s">
        <v>94</v>
      </c>
      <c r="J44" s="42" t="s">
        <v>79</v>
      </c>
      <c r="K44" s="194" t="s">
        <v>159</v>
      </c>
      <c r="L44" s="36">
        <v>2406037</v>
      </c>
      <c r="M44" s="36" t="s">
        <v>81</v>
      </c>
      <c r="N44" s="36">
        <v>2600</v>
      </c>
      <c r="O44" s="36" t="s">
        <v>82</v>
      </c>
      <c r="P44" s="37" t="s">
        <v>54</v>
      </c>
      <c r="Q44" s="39"/>
    </row>
    <row r="45" spans="1:17" ht="13">
      <c r="A45" s="32"/>
      <c r="B45" s="40" t="s">
        <v>160</v>
      </c>
      <c r="C45" s="36" t="s">
        <v>119</v>
      </c>
      <c r="D45" s="37" t="s">
        <v>46</v>
      </c>
      <c r="E45" s="41">
        <v>160</v>
      </c>
      <c r="F45" s="35" t="s">
        <v>47</v>
      </c>
      <c r="G45" s="35" t="s">
        <v>92</v>
      </c>
      <c r="H45" s="146" t="s">
        <v>93</v>
      </c>
      <c r="I45" s="42" t="s">
        <v>94</v>
      </c>
      <c r="J45" s="42" t="s">
        <v>79</v>
      </c>
      <c r="K45" s="194" t="s">
        <v>60</v>
      </c>
      <c r="L45" s="113" t="s">
        <v>61</v>
      </c>
      <c r="M45" s="113" t="s">
        <v>61</v>
      </c>
      <c r="N45" s="113" t="s">
        <v>60</v>
      </c>
      <c r="O45" s="113"/>
      <c r="P45" s="37" t="s">
        <v>54</v>
      </c>
      <c r="Q45" s="39"/>
    </row>
    <row r="46" spans="1:17" ht="13">
      <c r="A46" s="32"/>
      <c r="B46" s="40" t="s">
        <v>161</v>
      </c>
      <c r="C46" s="36" t="s">
        <v>119</v>
      </c>
      <c r="D46" s="37" t="s">
        <v>46</v>
      </c>
      <c r="E46" s="41">
        <v>160</v>
      </c>
      <c r="F46" s="35" t="s">
        <v>47</v>
      </c>
      <c r="G46" s="35">
        <v>0</v>
      </c>
      <c r="H46" s="38" t="s">
        <v>106</v>
      </c>
      <c r="I46" s="37" t="s">
        <v>107</v>
      </c>
      <c r="J46" s="37" t="s">
        <v>50</v>
      </c>
      <c r="K46" s="194" t="s">
        <v>162</v>
      </c>
      <c r="L46" s="36" t="s">
        <v>163</v>
      </c>
      <c r="M46" s="36" t="s">
        <v>13</v>
      </c>
      <c r="N46" s="36">
        <v>2000</v>
      </c>
      <c r="O46" s="36" t="s">
        <v>53</v>
      </c>
      <c r="P46" s="37" t="s">
        <v>54</v>
      </c>
      <c r="Q46" s="39"/>
    </row>
    <row r="47" spans="1:17" ht="13">
      <c r="A47" s="32"/>
      <c r="B47" s="40" t="s">
        <v>164</v>
      </c>
      <c r="C47" s="36" t="s">
        <v>119</v>
      </c>
      <c r="D47" s="37" t="s">
        <v>46</v>
      </c>
      <c r="E47" s="41">
        <v>160</v>
      </c>
      <c r="F47" s="35" t="s">
        <v>47</v>
      </c>
      <c r="G47" s="35">
        <v>0</v>
      </c>
      <c r="H47" s="38" t="s">
        <v>106</v>
      </c>
      <c r="I47" s="37" t="s">
        <v>107</v>
      </c>
      <c r="J47" s="37" t="s">
        <v>50</v>
      </c>
      <c r="K47" s="194" t="s">
        <v>60</v>
      </c>
      <c r="L47" s="113" t="s">
        <v>61</v>
      </c>
      <c r="M47" s="113" t="s">
        <v>61</v>
      </c>
      <c r="N47" s="113" t="s">
        <v>60</v>
      </c>
      <c r="O47" s="113"/>
      <c r="P47" s="37" t="s">
        <v>54</v>
      </c>
      <c r="Q47" s="39"/>
    </row>
    <row r="48" spans="1:17" ht="13">
      <c r="A48" s="32"/>
      <c r="B48" s="40" t="s">
        <v>165</v>
      </c>
      <c r="C48" s="36" t="s">
        <v>119</v>
      </c>
      <c r="D48" s="37" t="s">
        <v>46</v>
      </c>
      <c r="E48" s="41">
        <v>160</v>
      </c>
      <c r="F48" s="35" t="s">
        <v>47</v>
      </c>
      <c r="G48" s="35">
        <v>0</v>
      </c>
      <c r="H48" s="38" t="s">
        <v>114</v>
      </c>
      <c r="I48" s="37" t="s">
        <v>115</v>
      </c>
      <c r="J48" s="37" t="s">
        <v>50</v>
      </c>
      <c r="K48" s="194" t="s">
        <v>166</v>
      </c>
      <c r="L48" s="36" t="s">
        <v>167</v>
      </c>
      <c r="M48" s="36" t="s">
        <v>13</v>
      </c>
      <c r="N48" s="36">
        <v>2000</v>
      </c>
      <c r="O48" s="36" t="s">
        <v>82</v>
      </c>
      <c r="P48" s="37" t="s">
        <v>54</v>
      </c>
      <c r="Q48" s="39"/>
    </row>
    <row r="49" spans="1:17" ht="13">
      <c r="A49" s="32"/>
      <c r="B49" s="40" t="s">
        <v>168</v>
      </c>
      <c r="C49" s="36" t="s">
        <v>119</v>
      </c>
      <c r="D49" s="37" t="s">
        <v>46</v>
      </c>
      <c r="E49" s="41">
        <v>160</v>
      </c>
      <c r="F49" s="35" t="s">
        <v>47</v>
      </c>
      <c r="G49" s="35">
        <v>0</v>
      </c>
      <c r="H49" s="38" t="s">
        <v>114</v>
      </c>
      <c r="I49" s="37" t="s">
        <v>115</v>
      </c>
      <c r="J49" s="37" t="s">
        <v>50</v>
      </c>
      <c r="K49" s="194" t="s">
        <v>60</v>
      </c>
      <c r="L49" s="113" t="s">
        <v>61</v>
      </c>
      <c r="M49" s="113" t="s">
        <v>61</v>
      </c>
      <c r="N49" s="113" t="s">
        <v>60</v>
      </c>
      <c r="O49" s="113"/>
      <c r="P49" s="37" t="s">
        <v>54</v>
      </c>
      <c r="Q49" s="39"/>
    </row>
    <row r="50" spans="1:17" ht="13">
      <c r="A50" s="32"/>
      <c r="B50" s="40" t="s">
        <v>169</v>
      </c>
      <c r="C50" s="36" t="s">
        <v>119</v>
      </c>
      <c r="D50" s="37" t="s">
        <v>46</v>
      </c>
      <c r="E50" s="41">
        <v>160</v>
      </c>
      <c r="F50" s="35" t="s">
        <v>47</v>
      </c>
      <c r="G50" s="35">
        <v>1</v>
      </c>
      <c r="H50" s="146" t="s">
        <v>77</v>
      </c>
      <c r="I50" s="42" t="s">
        <v>78</v>
      </c>
      <c r="J50" s="42" t="s">
        <v>79</v>
      </c>
      <c r="K50" s="194" t="s">
        <v>170</v>
      </c>
      <c r="L50" s="36">
        <v>2406038</v>
      </c>
      <c r="M50" s="36" t="s">
        <v>81</v>
      </c>
      <c r="N50" s="36">
        <v>2600</v>
      </c>
      <c r="O50" s="36" t="s">
        <v>82</v>
      </c>
      <c r="P50" s="37" t="s">
        <v>54</v>
      </c>
      <c r="Q50" s="39"/>
    </row>
    <row r="51" spans="1:17" ht="13">
      <c r="A51" s="32"/>
      <c r="B51" s="40" t="s">
        <v>171</v>
      </c>
      <c r="C51" s="36" t="s">
        <v>119</v>
      </c>
      <c r="D51" s="37" t="s">
        <v>46</v>
      </c>
      <c r="E51" s="41">
        <v>160</v>
      </c>
      <c r="F51" s="35" t="s">
        <v>47</v>
      </c>
      <c r="G51" s="35">
        <v>1</v>
      </c>
      <c r="H51" s="146" t="s">
        <v>77</v>
      </c>
      <c r="I51" s="42" t="s">
        <v>78</v>
      </c>
      <c r="J51" s="42" t="s">
        <v>79</v>
      </c>
      <c r="K51" s="194" t="s">
        <v>60</v>
      </c>
      <c r="L51" s="113" t="s">
        <v>61</v>
      </c>
      <c r="M51" s="113" t="s">
        <v>61</v>
      </c>
      <c r="N51" s="113" t="s">
        <v>60</v>
      </c>
      <c r="O51" s="113"/>
      <c r="P51" s="37" t="s">
        <v>54</v>
      </c>
      <c r="Q51" s="39"/>
    </row>
    <row r="52" spans="1:17" ht="13">
      <c r="A52" s="32"/>
      <c r="B52" s="40" t="s">
        <v>172</v>
      </c>
      <c r="C52" s="125" t="s">
        <v>173</v>
      </c>
      <c r="D52" s="37" t="s">
        <v>74</v>
      </c>
      <c r="E52" s="41"/>
      <c r="F52" s="160" t="s">
        <v>174</v>
      </c>
      <c r="G52" s="35">
        <v>1</v>
      </c>
      <c r="H52" s="146" t="s">
        <v>77</v>
      </c>
      <c r="I52" s="42" t="s">
        <v>85</v>
      </c>
      <c r="J52" s="42" t="s">
        <v>79</v>
      </c>
      <c r="K52" s="194" t="s">
        <v>175</v>
      </c>
      <c r="L52" s="36">
        <v>2406082</v>
      </c>
      <c r="M52" s="36" t="s">
        <v>81</v>
      </c>
      <c r="N52" s="36">
        <v>2600</v>
      </c>
      <c r="O52" s="36" t="s">
        <v>82</v>
      </c>
      <c r="P52" s="37" t="s">
        <v>176</v>
      </c>
      <c r="Q52" s="39" t="s">
        <v>177</v>
      </c>
    </row>
    <row r="53" spans="1:17" ht="13">
      <c r="A53" s="32"/>
      <c r="B53" s="40" t="s">
        <v>178</v>
      </c>
      <c r="C53" s="36" t="s">
        <v>76</v>
      </c>
      <c r="D53" s="37" t="s">
        <v>46</v>
      </c>
      <c r="E53" s="41">
        <v>128</v>
      </c>
      <c r="F53" s="35" t="s">
        <v>59</v>
      </c>
      <c r="G53" s="35">
        <v>1</v>
      </c>
      <c r="H53" s="146" t="s">
        <v>77</v>
      </c>
      <c r="I53" s="42" t="s">
        <v>85</v>
      </c>
      <c r="J53" s="42" t="s">
        <v>79</v>
      </c>
      <c r="K53" s="194" t="s">
        <v>60</v>
      </c>
      <c r="L53" s="113" t="s">
        <v>61</v>
      </c>
      <c r="M53" s="113" t="s">
        <v>61</v>
      </c>
      <c r="N53" s="113" t="s">
        <v>60</v>
      </c>
      <c r="O53" s="113"/>
      <c r="P53" s="37" t="s">
        <v>54</v>
      </c>
      <c r="Q53" s="39"/>
    </row>
    <row r="54" spans="1:17" ht="13">
      <c r="A54" s="32"/>
      <c r="B54" s="40" t="s">
        <v>179</v>
      </c>
      <c r="C54" s="36" t="s">
        <v>76</v>
      </c>
      <c r="D54" s="37" t="s">
        <v>46</v>
      </c>
      <c r="E54" s="41">
        <v>128</v>
      </c>
      <c r="F54" s="35" t="s">
        <v>59</v>
      </c>
      <c r="G54" s="35">
        <v>1</v>
      </c>
      <c r="H54" s="146" t="s">
        <v>77</v>
      </c>
      <c r="I54" s="42" t="s">
        <v>85</v>
      </c>
      <c r="J54" s="42" t="s">
        <v>79</v>
      </c>
      <c r="K54" s="194" t="s">
        <v>180</v>
      </c>
      <c r="L54" s="36">
        <v>2406098</v>
      </c>
      <c r="M54" s="36" t="s">
        <v>81</v>
      </c>
      <c r="N54" s="36">
        <v>2600</v>
      </c>
      <c r="O54" s="36" t="s">
        <v>82</v>
      </c>
      <c r="P54" s="37" t="s">
        <v>54</v>
      </c>
      <c r="Q54" s="39"/>
    </row>
    <row r="55" spans="1:17" ht="13">
      <c r="A55" s="32"/>
      <c r="B55" s="40" t="s">
        <v>181</v>
      </c>
      <c r="C55" s="36" t="s">
        <v>76</v>
      </c>
      <c r="D55" s="37" t="s">
        <v>46</v>
      </c>
      <c r="E55" s="41">
        <v>128</v>
      </c>
      <c r="F55" s="35" t="s">
        <v>59</v>
      </c>
      <c r="G55" s="35">
        <v>1</v>
      </c>
      <c r="H55" s="146" t="s">
        <v>77</v>
      </c>
      <c r="I55" s="42" t="s">
        <v>85</v>
      </c>
      <c r="J55" s="42" t="s">
        <v>79</v>
      </c>
      <c r="K55" s="194" t="s">
        <v>60</v>
      </c>
      <c r="L55" s="113" t="s">
        <v>61</v>
      </c>
      <c r="M55" s="113" t="s">
        <v>61</v>
      </c>
      <c r="N55" s="113" t="s">
        <v>60</v>
      </c>
      <c r="O55" s="113"/>
      <c r="P55" s="37" t="s">
        <v>54</v>
      </c>
      <c r="Q55" s="39"/>
    </row>
    <row r="56" spans="1:17" ht="13">
      <c r="A56" s="32"/>
      <c r="B56" s="40" t="s">
        <v>182</v>
      </c>
      <c r="C56" s="36" t="s">
        <v>183</v>
      </c>
      <c r="D56" s="37" t="s">
        <v>46</v>
      </c>
      <c r="E56" s="41">
        <v>128</v>
      </c>
      <c r="F56" s="35" t="s">
        <v>59</v>
      </c>
      <c r="G56" s="35" t="s">
        <v>92</v>
      </c>
      <c r="H56" s="146" t="s">
        <v>93</v>
      </c>
      <c r="I56" s="42" t="s">
        <v>94</v>
      </c>
      <c r="J56" s="42" t="s">
        <v>79</v>
      </c>
      <c r="K56" s="194" t="s">
        <v>184</v>
      </c>
      <c r="L56" s="36" t="s">
        <v>185</v>
      </c>
      <c r="M56" s="36" t="s">
        <v>97</v>
      </c>
      <c r="N56" s="36">
        <v>2600</v>
      </c>
      <c r="O56" s="36" t="s">
        <v>53</v>
      </c>
      <c r="P56" s="37" t="s">
        <v>54</v>
      </c>
      <c r="Q56" s="39"/>
    </row>
    <row r="57" spans="1:17" ht="13">
      <c r="A57" s="32"/>
      <c r="B57" s="40" t="s">
        <v>186</v>
      </c>
      <c r="C57" s="36" t="s">
        <v>103</v>
      </c>
      <c r="D57" s="37" t="s">
        <v>46</v>
      </c>
      <c r="E57" s="41">
        <v>128</v>
      </c>
      <c r="F57" s="35" t="s">
        <v>59</v>
      </c>
      <c r="G57" s="35" t="s">
        <v>92</v>
      </c>
      <c r="H57" s="146" t="s">
        <v>93</v>
      </c>
      <c r="I57" s="42" t="s">
        <v>94</v>
      </c>
      <c r="J57" s="42" t="s">
        <v>79</v>
      </c>
      <c r="K57" s="194" t="s">
        <v>60</v>
      </c>
      <c r="L57" s="113" t="s">
        <v>61</v>
      </c>
      <c r="M57" s="113" t="s">
        <v>61</v>
      </c>
      <c r="N57" s="113" t="s">
        <v>60</v>
      </c>
      <c r="O57" s="113"/>
      <c r="P57" s="37" t="s">
        <v>54</v>
      </c>
      <c r="Q57" s="39"/>
    </row>
    <row r="58" spans="1:17" ht="13">
      <c r="A58" s="32"/>
      <c r="B58" s="40" t="s">
        <v>187</v>
      </c>
      <c r="C58" s="36" t="s">
        <v>119</v>
      </c>
      <c r="D58" s="37" t="s">
        <v>46</v>
      </c>
      <c r="E58" s="41">
        <v>160</v>
      </c>
      <c r="F58" s="35" t="s">
        <v>47</v>
      </c>
      <c r="G58" s="35" t="s">
        <v>92</v>
      </c>
      <c r="H58" s="146" t="s">
        <v>93</v>
      </c>
      <c r="I58" s="42" t="s">
        <v>94</v>
      </c>
      <c r="J58" s="42" t="s">
        <v>79</v>
      </c>
      <c r="K58" s="194" t="s">
        <v>188</v>
      </c>
      <c r="L58" s="36">
        <v>2406089</v>
      </c>
      <c r="M58" s="36" t="s">
        <v>81</v>
      </c>
      <c r="N58" s="36">
        <v>2600</v>
      </c>
      <c r="O58" s="36" t="s">
        <v>82</v>
      </c>
      <c r="P58" s="37" t="s">
        <v>54</v>
      </c>
      <c r="Q58" s="39"/>
    </row>
    <row r="59" spans="1:17" ht="13">
      <c r="A59" s="32"/>
      <c r="B59" s="40" t="s">
        <v>189</v>
      </c>
      <c r="C59" s="36" t="s">
        <v>119</v>
      </c>
      <c r="D59" s="37" t="s">
        <v>46</v>
      </c>
      <c r="E59" s="41">
        <v>160</v>
      </c>
      <c r="F59" s="35" t="s">
        <v>47</v>
      </c>
      <c r="G59" s="35" t="s">
        <v>92</v>
      </c>
      <c r="H59" s="146" t="s">
        <v>93</v>
      </c>
      <c r="I59" s="42" t="s">
        <v>94</v>
      </c>
      <c r="J59" s="42" t="s">
        <v>79</v>
      </c>
      <c r="K59" s="194" t="s">
        <v>60</v>
      </c>
      <c r="L59" s="113" t="s">
        <v>61</v>
      </c>
      <c r="M59" s="113" t="s">
        <v>61</v>
      </c>
      <c r="N59" s="113" t="s">
        <v>60</v>
      </c>
      <c r="O59" s="113"/>
      <c r="P59" s="37" t="s">
        <v>54</v>
      </c>
      <c r="Q59" s="39"/>
    </row>
    <row r="60" spans="1:17" ht="13">
      <c r="A60" s="32"/>
      <c r="B60" s="40" t="s">
        <v>190</v>
      </c>
      <c r="C60" s="36" t="s">
        <v>119</v>
      </c>
      <c r="D60" s="37" t="s">
        <v>46</v>
      </c>
      <c r="E60" s="41">
        <v>160</v>
      </c>
      <c r="F60" s="35" t="s">
        <v>47</v>
      </c>
      <c r="G60" s="35" t="s">
        <v>92</v>
      </c>
      <c r="H60" s="146" t="s">
        <v>93</v>
      </c>
      <c r="I60" s="42" t="s">
        <v>191</v>
      </c>
      <c r="J60" s="42" t="s">
        <v>79</v>
      </c>
      <c r="K60" s="194" t="s">
        <v>192</v>
      </c>
      <c r="L60" s="36">
        <v>2406083</v>
      </c>
      <c r="M60" s="36" t="s">
        <v>81</v>
      </c>
      <c r="N60" s="36">
        <v>2600</v>
      </c>
      <c r="O60" s="36" t="s">
        <v>82</v>
      </c>
      <c r="P60" s="37" t="s">
        <v>54</v>
      </c>
      <c r="Q60" s="39"/>
    </row>
    <row r="61" spans="1:17" ht="13">
      <c r="A61" s="32"/>
      <c r="B61" s="40" t="s">
        <v>193</v>
      </c>
      <c r="C61" s="36" t="s">
        <v>119</v>
      </c>
      <c r="D61" s="37" t="s">
        <v>46</v>
      </c>
      <c r="E61" s="41">
        <v>160</v>
      </c>
      <c r="F61" s="35" t="s">
        <v>47</v>
      </c>
      <c r="G61" s="35" t="s">
        <v>92</v>
      </c>
      <c r="H61" s="146" t="s">
        <v>93</v>
      </c>
      <c r="I61" s="42" t="s">
        <v>191</v>
      </c>
      <c r="J61" s="42" t="s">
        <v>79</v>
      </c>
      <c r="K61" s="194" t="s">
        <v>60</v>
      </c>
      <c r="L61" s="113" t="s">
        <v>61</v>
      </c>
      <c r="M61" s="113" t="s">
        <v>61</v>
      </c>
      <c r="N61" s="113" t="s">
        <v>60</v>
      </c>
      <c r="O61" s="113"/>
      <c r="P61" s="37" t="s">
        <v>54</v>
      </c>
      <c r="Q61" s="39"/>
    </row>
    <row r="62" spans="1:17" ht="13">
      <c r="A62" s="32"/>
      <c r="B62" s="40" t="s">
        <v>194</v>
      </c>
      <c r="C62" s="36" t="s">
        <v>119</v>
      </c>
      <c r="D62" s="37" t="s">
        <v>46</v>
      </c>
      <c r="E62" s="41">
        <v>160</v>
      </c>
      <c r="F62" s="35" t="s">
        <v>47</v>
      </c>
      <c r="G62" s="35" t="s">
        <v>92</v>
      </c>
      <c r="H62" s="146" t="s">
        <v>93</v>
      </c>
      <c r="I62" s="42" t="s">
        <v>191</v>
      </c>
      <c r="J62" s="42" t="s">
        <v>79</v>
      </c>
      <c r="K62" s="194" t="s">
        <v>195</v>
      </c>
      <c r="L62" s="36">
        <v>2406051</v>
      </c>
      <c r="M62" s="36" t="s">
        <v>81</v>
      </c>
      <c r="N62" s="36">
        <v>2600</v>
      </c>
      <c r="O62" s="36" t="s">
        <v>82</v>
      </c>
      <c r="P62" s="37" t="s">
        <v>54</v>
      </c>
      <c r="Q62" s="39"/>
    </row>
    <row r="63" spans="1:17" ht="13">
      <c r="A63" s="32"/>
      <c r="B63" s="40" t="s">
        <v>196</v>
      </c>
      <c r="C63" s="36" t="s">
        <v>119</v>
      </c>
      <c r="D63" s="37" t="s">
        <v>46</v>
      </c>
      <c r="E63" s="41">
        <v>160</v>
      </c>
      <c r="F63" s="35" t="s">
        <v>47</v>
      </c>
      <c r="G63" s="35" t="s">
        <v>92</v>
      </c>
      <c r="H63" s="146" t="s">
        <v>93</v>
      </c>
      <c r="I63" s="42" t="s">
        <v>191</v>
      </c>
      <c r="J63" s="42" t="s">
        <v>79</v>
      </c>
      <c r="K63" s="194" t="s">
        <v>60</v>
      </c>
      <c r="L63" s="113" t="s">
        <v>61</v>
      </c>
      <c r="M63" s="113" t="s">
        <v>61</v>
      </c>
      <c r="N63" s="113" t="s">
        <v>60</v>
      </c>
      <c r="O63" s="113"/>
      <c r="P63" s="37" t="s">
        <v>54</v>
      </c>
      <c r="Q63" s="39"/>
    </row>
    <row r="64" spans="1:17" ht="13">
      <c r="A64" s="32"/>
      <c r="B64" s="40" t="s">
        <v>197</v>
      </c>
      <c r="C64" s="36" t="s">
        <v>119</v>
      </c>
      <c r="D64" s="37" t="s">
        <v>46</v>
      </c>
      <c r="E64" s="41">
        <v>160</v>
      </c>
      <c r="F64" s="35" t="s">
        <v>47</v>
      </c>
      <c r="G64" s="35" t="s">
        <v>92</v>
      </c>
      <c r="H64" s="146" t="s">
        <v>93</v>
      </c>
      <c r="I64" s="42" t="s">
        <v>191</v>
      </c>
      <c r="J64" s="42" t="s">
        <v>79</v>
      </c>
      <c r="K64" s="194" t="s">
        <v>198</v>
      </c>
      <c r="L64" s="36">
        <v>2406053</v>
      </c>
      <c r="M64" s="36" t="s">
        <v>81</v>
      </c>
      <c r="N64" s="36">
        <v>2600</v>
      </c>
      <c r="O64" s="36" t="s">
        <v>82</v>
      </c>
      <c r="P64" s="37" t="s">
        <v>54</v>
      </c>
      <c r="Q64" s="39"/>
    </row>
    <row r="65" spans="1:17" ht="13">
      <c r="A65" s="32"/>
      <c r="B65" s="40" t="s">
        <v>199</v>
      </c>
      <c r="C65" s="36" t="s">
        <v>119</v>
      </c>
      <c r="D65" s="37" t="s">
        <v>46</v>
      </c>
      <c r="E65" s="41">
        <v>160</v>
      </c>
      <c r="F65" s="35" t="s">
        <v>47</v>
      </c>
      <c r="G65" s="35" t="s">
        <v>92</v>
      </c>
      <c r="H65" s="146" t="s">
        <v>93</v>
      </c>
      <c r="I65" s="42" t="s">
        <v>191</v>
      </c>
      <c r="J65" s="42" t="s">
        <v>79</v>
      </c>
      <c r="K65" s="194" t="s">
        <v>60</v>
      </c>
      <c r="L65" s="113" t="s">
        <v>61</v>
      </c>
      <c r="M65" s="113" t="s">
        <v>61</v>
      </c>
      <c r="N65" s="113" t="s">
        <v>60</v>
      </c>
      <c r="O65" s="113"/>
      <c r="P65" s="37" t="s">
        <v>54</v>
      </c>
      <c r="Q65" s="39"/>
    </row>
    <row r="66" spans="1:17" ht="13">
      <c r="A66" s="32"/>
      <c r="B66" s="40" t="s">
        <v>200</v>
      </c>
      <c r="C66" s="36" t="s">
        <v>119</v>
      </c>
      <c r="D66" s="37" t="s">
        <v>46</v>
      </c>
      <c r="E66" s="41">
        <v>160</v>
      </c>
      <c r="F66" s="35" t="s">
        <v>47</v>
      </c>
      <c r="G66" s="35" t="s">
        <v>92</v>
      </c>
      <c r="H66" s="146" t="s">
        <v>93</v>
      </c>
      <c r="I66" s="42" t="s">
        <v>191</v>
      </c>
      <c r="J66" s="42" t="s">
        <v>79</v>
      </c>
      <c r="K66" s="194" t="s">
        <v>201</v>
      </c>
      <c r="L66" s="36">
        <v>2406099</v>
      </c>
      <c r="M66" s="36" t="s">
        <v>81</v>
      </c>
      <c r="N66" s="36">
        <v>2600</v>
      </c>
      <c r="O66" s="36" t="s">
        <v>82</v>
      </c>
      <c r="P66" s="37" t="s">
        <v>54</v>
      </c>
      <c r="Q66" s="39"/>
    </row>
    <row r="67" spans="1:17" ht="13">
      <c r="A67" s="32"/>
      <c r="B67" s="40" t="s">
        <v>202</v>
      </c>
      <c r="C67" s="36" t="s">
        <v>119</v>
      </c>
      <c r="D67" s="37" t="s">
        <v>46</v>
      </c>
      <c r="E67" s="41">
        <v>160</v>
      </c>
      <c r="F67" s="35" t="s">
        <v>47</v>
      </c>
      <c r="G67" s="35" t="s">
        <v>92</v>
      </c>
      <c r="H67" s="146" t="s">
        <v>93</v>
      </c>
      <c r="I67" s="42" t="s">
        <v>191</v>
      </c>
      <c r="J67" s="42" t="s">
        <v>79</v>
      </c>
      <c r="K67" s="194" t="s">
        <v>60</v>
      </c>
      <c r="L67" s="113" t="s">
        <v>61</v>
      </c>
      <c r="M67" s="113" t="s">
        <v>61</v>
      </c>
      <c r="N67" s="113" t="s">
        <v>60</v>
      </c>
      <c r="O67" s="113"/>
      <c r="P67" s="37" t="s">
        <v>54</v>
      </c>
      <c r="Q67" s="39"/>
    </row>
    <row r="68" spans="1:17" ht="13">
      <c r="A68" s="32"/>
      <c r="B68" s="40" t="s">
        <v>203</v>
      </c>
      <c r="C68" s="36" t="s">
        <v>119</v>
      </c>
      <c r="D68" s="37" t="s">
        <v>46</v>
      </c>
      <c r="E68" s="41">
        <v>160</v>
      </c>
      <c r="F68" s="35" t="s">
        <v>47</v>
      </c>
      <c r="G68" s="35" t="s">
        <v>92</v>
      </c>
      <c r="H68" s="146" t="s">
        <v>93</v>
      </c>
      <c r="I68" s="42" t="s">
        <v>191</v>
      </c>
      <c r="J68" s="42" t="s">
        <v>79</v>
      </c>
      <c r="K68" s="194" t="s">
        <v>204</v>
      </c>
      <c r="L68" s="36">
        <v>2406071</v>
      </c>
      <c r="M68" s="36" t="s">
        <v>81</v>
      </c>
      <c r="N68" s="36">
        <v>2600</v>
      </c>
      <c r="O68" s="36" t="s">
        <v>82</v>
      </c>
      <c r="P68" s="37" t="s">
        <v>54</v>
      </c>
      <c r="Q68" s="39"/>
    </row>
    <row r="69" spans="1:17" ht="13">
      <c r="A69" s="32"/>
      <c r="B69" s="40" t="s">
        <v>205</v>
      </c>
      <c r="C69" s="36" t="s">
        <v>119</v>
      </c>
      <c r="D69" s="37" t="s">
        <v>46</v>
      </c>
      <c r="E69" s="41">
        <v>160</v>
      </c>
      <c r="F69" s="35" t="s">
        <v>47</v>
      </c>
      <c r="G69" s="35" t="s">
        <v>92</v>
      </c>
      <c r="H69" s="146" t="s">
        <v>93</v>
      </c>
      <c r="I69" s="42" t="s">
        <v>191</v>
      </c>
      <c r="J69" s="42" t="s">
        <v>79</v>
      </c>
      <c r="K69" s="194" t="s">
        <v>60</v>
      </c>
      <c r="L69" s="113" t="s">
        <v>61</v>
      </c>
      <c r="M69" s="113" t="s">
        <v>61</v>
      </c>
      <c r="N69" s="113" t="s">
        <v>60</v>
      </c>
      <c r="O69" s="113"/>
      <c r="P69" s="37" t="s">
        <v>54</v>
      </c>
      <c r="Q69" s="39"/>
    </row>
    <row r="70" spans="1:17" ht="13">
      <c r="A70" s="32"/>
      <c r="B70" s="40" t="s">
        <v>206</v>
      </c>
      <c r="C70" s="36" t="s">
        <v>119</v>
      </c>
      <c r="D70" s="37" t="s">
        <v>46</v>
      </c>
      <c r="E70" s="41">
        <v>160</v>
      </c>
      <c r="F70" s="35" t="s">
        <v>47</v>
      </c>
      <c r="G70" s="35" t="s">
        <v>92</v>
      </c>
      <c r="H70" s="146" t="s">
        <v>93</v>
      </c>
      <c r="I70" s="42" t="s">
        <v>191</v>
      </c>
      <c r="J70" s="42" t="s">
        <v>79</v>
      </c>
      <c r="K70" s="194" t="s">
        <v>207</v>
      </c>
      <c r="L70" s="36">
        <v>2406054</v>
      </c>
      <c r="M70" s="36" t="s">
        <v>81</v>
      </c>
      <c r="N70" s="36">
        <v>2600</v>
      </c>
      <c r="O70" s="36" t="s">
        <v>82</v>
      </c>
      <c r="P70" s="37" t="s">
        <v>54</v>
      </c>
      <c r="Q70" s="39"/>
    </row>
    <row r="71" spans="1:17" ht="13">
      <c r="A71" s="32"/>
      <c r="B71" s="40" t="s">
        <v>208</v>
      </c>
      <c r="C71" s="36" t="s">
        <v>119</v>
      </c>
      <c r="D71" s="37" t="s">
        <v>46</v>
      </c>
      <c r="E71" s="41">
        <v>160</v>
      </c>
      <c r="F71" s="35" t="s">
        <v>47</v>
      </c>
      <c r="G71" s="35" t="s">
        <v>92</v>
      </c>
      <c r="H71" s="146" t="s">
        <v>93</v>
      </c>
      <c r="I71" s="42" t="s">
        <v>191</v>
      </c>
      <c r="J71" s="42" t="s">
        <v>79</v>
      </c>
      <c r="K71" s="194" t="s">
        <v>60</v>
      </c>
      <c r="L71" s="113" t="s">
        <v>61</v>
      </c>
      <c r="M71" s="113" t="s">
        <v>61</v>
      </c>
      <c r="N71" s="113" t="s">
        <v>60</v>
      </c>
      <c r="O71" s="113"/>
      <c r="P71" s="37" t="s">
        <v>54</v>
      </c>
      <c r="Q71" s="39"/>
    </row>
    <row r="72" spans="1:17" ht="13">
      <c r="A72" s="32"/>
      <c r="B72" s="40" t="s">
        <v>209</v>
      </c>
      <c r="C72" s="36" t="s">
        <v>119</v>
      </c>
      <c r="D72" s="37" t="s">
        <v>46</v>
      </c>
      <c r="E72" s="41">
        <v>160</v>
      </c>
      <c r="F72" s="35" t="s">
        <v>47</v>
      </c>
      <c r="G72" s="35" t="s">
        <v>92</v>
      </c>
      <c r="H72" s="146" t="s">
        <v>93</v>
      </c>
      <c r="I72" s="42" t="s">
        <v>191</v>
      </c>
      <c r="J72" s="42" t="s">
        <v>79</v>
      </c>
      <c r="K72" s="194" t="s">
        <v>210</v>
      </c>
      <c r="L72" s="36">
        <v>20112290433</v>
      </c>
      <c r="M72" s="36" t="s">
        <v>13</v>
      </c>
      <c r="N72" s="36">
        <v>2000</v>
      </c>
      <c r="O72" s="36" t="s">
        <v>53</v>
      </c>
      <c r="P72" s="37" t="s">
        <v>54</v>
      </c>
      <c r="Q72" s="39"/>
    </row>
    <row r="73" spans="1:17" ht="13">
      <c r="A73" s="32"/>
      <c r="B73" s="40" t="s">
        <v>211</v>
      </c>
      <c r="C73" s="36" t="s">
        <v>119</v>
      </c>
      <c r="D73" s="37" t="s">
        <v>46</v>
      </c>
      <c r="E73" s="41">
        <v>160</v>
      </c>
      <c r="F73" s="35" t="s">
        <v>47</v>
      </c>
      <c r="G73" s="35" t="s">
        <v>92</v>
      </c>
      <c r="H73" s="146" t="s">
        <v>93</v>
      </c>
      <c r="I73" s="42" t="s">
        <v>191</v>
      </c>
      <c r="J73" s="42" t="s">
        <v>79</v>
      </c>
      <c r="K73" s="194" t="s">
        <v>60</v>
      </c>
      <c r="L73" s="113" t="s">
        <v>61</v>
      </c>
      <c r="M73" s="113" t="s">
        <v>61</v>
      </c>
      <c r="N73" s="113" t="s">
        <v>60</v>
      </c>
      <c r="O73" s="113"/>
      <c r="P73" s="37" t="s">
        <v>54</v>
      </c>
      <c r="Q73" s="39"/>
    </row>
    <row r="74" spans="1:17" ht="13">
      <c r="A74" s="32"/>
      <c r="B74" s="40" t="s">
        <v>212</v>
      </c>
      <c r="C74" s="36" t="s">
        <v>119</v>
      </c>
      <c r="D74" s="37" t="s">
        <v>46</v>
      </c>
      <c r="E74" s="41">
        <v>160</v>
      </c>
      <c r="F74" s="35" t="s">
        <v>47</v>
      </c>
      <c r="G74" s="35" t="s">
        <v>92</v>
      </c>
      <c r="H74" s="146" t="s">
        <v>93</v>
      </c>
      <c r="I74" s="42" t="s">
        <v>191</v>
      </c>
      <c r="J74" s="42" t="s">
        <v>79</v>
      </c>
      <c r="K74" s="194" t="s">
        <v>213</v>
      </c>
      <c r="L74" s="36">
        <v>20112290338</v>
      </c>
      <c r="M74" s="36" t="s">
        <v>13</v>
      </c>
      <c r="N74" s="36">
        <v>2000</v>
      </c>
      <c r="O74" s="36" t="s">
        <v>53</v>
      </c>
      <c r="P74" s="37" t="s">
        <v>54</v>
      </c>
      <c r="Q74" s="39"/>
    </row>
    <row r="75" spans="1:17" ht="13">
      <c r="A75" s="32"/>
      <c r="B75" s="40" t="s">
        <v>214</v>
      </c>
      <c r="C75" s="36" t="s">
        <v>119</v>
      </c>
      <c r="D75" s="37" t="s">
        <v>46</v>
      </c>
      <c r="E75" s="41">
        <v>160</v>
      </c>
      <c r="F75" s="35" t="s">
        <v>47</v>
      </c>
      <c r="G75" s="35" t="s">
        <v>92</v>
      </c>
      <c r="H75" s="146" t="s">
        <v>93</v>
      </c>
      <c r="I75" s="42" t="s">
        <v>191</v>
      </c>
      <c r="J75" s="42" t="s">
        <v>79</v>
      </c>
      <c r="K75" s="194" t="s">
        <v>60</v>
      </c>
      <c r="L75" s="113" t="s">
        <v>61</v>
      </c>
      <c r="M75" s="113" t="s">
        <v>61</v>
      </c>
      <c r="N75" s="113" t="s">
        <v>60</v>
      </c>
      <c r="O75" s="113"/>
      <c r="P75" s="37" t="s">
        <v>54</v>
      </c>
      <c r="Q75" s="39"/>
    </row>
    <row r="76" spans="1:17" ht="13">
      <c r="A76" s="32"/>
      <c r="B76" s="40" t="s">
        <v>215</v>
      </c>
      <c r="C76" s="36" t="s">
        <v>119</v>
      </c>
      <c r="D76" s="37" t="s">
        <v>46</v>
      </c>
      <c r="E76" s="41">
        <v>160</v>
      </c>
      <c r="F76" s="35" t="s">
        <v>47</v>
      </c>
      <c r="G76" s="35">
        <v>2</v>
      </c>
      <c r="H76" s="146" t="s">
        <v>216</v>
      </c>
      <c r="I76" s="42" t="s">
        <v>217</v>
      </c>
      <c r="J76" s="42" t="s">
        <v>79</v>
      </c>
      <c r="K76" s="194" t="s">
        <v>218</v>
      </c>
      <c r="L76" s="36" t="s">
        <v>219</v>
      </c>
      <c r="M76" s="36" t="s">
        <v>13</v>
      </c>
      <c r="N76" s="36">
        <v>2000</v>
      </c>
      <c r="O76" s="36" t="s">
        <v>53</v>
      </c>
      <c r="P76" s="37" t="s">
        <v>54</v>
      </c>
      <c r="Q76" s="39"/>
    </row>
    <row r="77" spans="1:17" ht="13">
      <c r="A77" s="32"/>
      <c r="B77" s="40" t="s">
        <v>220</v>
      </c>
      <c r="C77" s="36" t="s">
        <v>119</v>
      </c>
      <c r="D77" s="37" t="s">
        <v>46</v>
      </c>
      <c r="E77" s="41">
        <v>160</v>
      </c>
      <c r="F77" s="35" t="s">
        <v>47</v>
      </c>
      <c r="G77" s="35">
        <v>2</v>
      </c>
      <c r="H77" s="146" t="s">
        <v>216</v>
      </c>
      <c r="I77" s="42" t="s">
        <v>217</v>
      </c>
      <c r="J77" s="42" t="s">
        <v>79</v>
      </c>
      <c r="K77" s="194" t="s">
        <v>60</v>
      </c>
      <c r="L77" s="113" t="s">
        <v>61</v>
      </c>
      <c r="M77" s="113" t="s">
        <v>61</v>
      </c>
      <c r="N77" s="113" t="s">
        <v>60</v>
      </c>
      <c r="O77" s="113"/>
      <c r="P77" s="37" t="s">
        <v>54</v>
      </c>
      <c r="Q77" s="39"/>
    </row>
    <row r="78" spans="1:17" ht="13">
      <c r="A78" s="32"/>
      <c r="B78" s="40" t="s">
        <v>221</v>
      </c>
      <c r="C78" s="36" t="s">
        <v>119</v>
      </c>
      <c r="D78" s="37" t="s">
        <v>46</v>
      </c>
      <c r="E78" s="41">
        <v>160</v>
      </c>
      <c r="F78" s="35" t="s">
        <v>47</v>
      </c>
      <c r="G78" s="35">
        <v>2</v>
      </c>
      <c r="H78" s="146" t="s">
        <v>216</v>
      </c>
      <c r="I78" s="42" t="s">
        <v>217</v>
      </c>
      <c r="J78" s="42" t="s">
        <v>79</v>
      </c>
      <c r="K78" s="194" t="s">
        <v>222</v>
      </c>
      <c r="L78" s="36" t="s">
        <v>223</v>
      </c>
      <c r="M78" s="36" t="s">
        <v>13</v>
      </c>
      <c r="N78" s="36">
        <v>2000</v>
      </c>
      <c r="O78" s="36" t="s">
        <v>53</v>
      </c>
      <c r="P78" s="37" t="s">
        <v>54</v>
      </c>
      <c r="Q78" s="39"/>
    </row>
    <row r="79" spans="1:17" ht="13">
      <c r="A79" s="32"/>
      <c r="B79" s="40" t="s">
        <v>224</v>
      </c>
      <c r="C79" s="36" t="s">
        <v>119</v>
      </c>
      <c r="D79" s="37" t="s">
        <v>46</v>
      </c>
      <c r="E79" s="41">
        <v>160</v>
      </c>
      <c r="F79" s="35" t="s">
        <v>47</v>
      </c>
      <c r="G79" s="35">
        <v>2</v>
      </c>
      <c r="H79" s="146" t="s">
        <v>216</v>
      </c>
      <c r="I79" s="42" t="s">
        <v>217</v>
      </c>
      <c r="J79" s="42" t="s">
        <v>79</v>
      </c>
      <c r="K79" s="194" t="s">
        <v>60</v>
      </c>
      <c r="L79" s="113" t="s">
        <v>61</v>
      </c>
      <c r="M79" s="113" t="s">
        <v>61</v>
      </c>
      <c r="N79" s="113" t="s">
        <v>60</v>
      </c>
      <c r="O79" s="113"/>
      <c r="P79" s="37" t="s">
        <v>54</v>
      </c>
      <c r="Q79" s="39"/>
    </row>
    <row r="80" spans="1:17" ht="13">
      <c r="A80" s="32"/>
      <c r="B80" s="40" t="s">
        <v>225</v>
      </c>
      <c r="C80" s="36" t="s">
        <v>119</v>
      </c>
      <c r="D80" s="37" t="s">
        <v>46</v>
      </c>
      <c r="E80" s="41">
        <v>160</v>
      </c>
      <c r="F80" s="35" t="s">
        <v>47</v>
      </c>
      <c r="G80" s="35">
        <v>2</v>
      </c>
      <c r="H80" s="146" t="s">
        <v>216</v>
      </c>
      <c r="I80" s="42" t="s">
        <v>217</v>
      </c>
      <c r="J80" s="42" t="s">
        <v>79</v>
      </c>
      <c r="K80" s="194" t="s">
        <v>226</v>
      </c>
      <c r="L80" s="36" t="s">
        <v>227</v>
      </c>
      <c r="M80" s="36" t="s">
        <v>13</v>
      </c>
      <c r="N80" s="36">
        <v>2000</v>
      </c>
      <c r="O80" s="36" t="s">
        <v>53</v>
      </c>
      <c r="P80" s="37" t="s">
        <v>54</v>
      </c>
      <c r="Q80" s="39"/>
    </row>
    <row r="81" spans="1:17" ht="13">
      <c r="A81" s="32"/>
      <c r="B81" s="40" t="s">
        <v>228</v>
      </c>
      <c r="C81" s="36" t="s">
        <v>119</v>
      </c>
      <c r="D81" s="37" t="s">
        <v>46</v>
      </c>
      <c r="E81" s="41">
        <v>160</v>
      </c>
      <c r="F81" s="35" t="s">
        <v>47</v>
      </c>
      <c r="G81" s="35">
        <v>2</v>
      </c>
      <c r="H81" s="146" t="s">
        <v>216</v>
      </c>
      <c r="I81" s="42" t="s">
        <v>217</v>
      </c>
      <c r="J81" s="42" t="s">
        <v>79</v>
      </c>
      <c r="K81" s="194" t="s">
        <v>60</v>
      </c>
      <c r="L81" s="113" t="s">
        <v>61</v>
      </c>
      <c r="M81" s="113" t="s">
        <v>61</v>
      </c>
      <c r="N81" s="113" t="s">
        <v>60</v>
      </c>
      <c r="O81" s="113"/>
      <c r="P81" s="37" t="s">
        <v>54</v>
      </c>
      <c r="Q81" s="39"/>
    </row>
    <row r="82" spans="1:17" ht="13">
      <c r="A82" s="32"/>
      <c r="B82" s="40" t="s">
        <v>229</v>
      </c>
      <c r="C82" s="36" t="s">
        <v>119</v>
      </c>
      <c r="D82" s="37" t="s">
        <v>46</v>
      </c>
      <c r="E82" s="41">
        <v>160</v>
      </c>
      <c r="F82" s="35" t="s">
        <v>47</v>
      </c>
      <c r="G82" s="35">
        <v>2</v>
      </c>
      <c r="H82" s="146" t="s">
        <v>216</v>
      </c>
      <c r="I82" s="42" t="s">
        <v>217</v>
      </c>
      <c r="J82" s="42" t="s">
        <v>79</v>
      </c>
      <c r="K82" s="194" t="s">
        <v>230</v>
      </c>
      <c r="L82" s="36">
        <v>20112290346</v>
      </c>
      <c r="M82" s="36" t="s">
        <v>13</v>
      </c>
      <c r="N82" s="36">
        <v>2000</v>
      </c>
      <c r="O82" s="36" t="s">
        <v>53</v>
      </c>
      <c r="P82" s="37" t="s">
        <v>54</v>
      </c>
      <c r="Q82" s="39"/>
    </row>
    <row r="83" spans="1:17" ht="13">
      <c r="A83" s="32"/>
      <c r="B83" s="40" t="s">
        <v>231</v>
      </c>
      <c r="C83" s="36" t="s">
        <v>119</v>
      </c>
      <c r="D83" s="37" t="s">
        <v>46</v>
      </c>
      <c r="E83" s="41">
        <v>160</v>
      </c>
      <c r="F83" s="35" t="s">
        <v>47</v>
      </c>
      <c r="G83" s="35">
        <v>2</v>
      </c>
      <c r="H83" s="146" t="s">
        <v>216</v>
      </c>
      <c r="I83" s="42" t="s">
        <v>217</v>
      </c>
      <c r="J83" s="42" t="s">
        <v>79</v>
      </c>
      <c r="K83" s="194" t="s">
        <v>60</v>
      </c>
      <c r="L83" s="113" t="s">
        <v>61</v>
      </c>
      <c r="M83" s="113" t="s">
        <v>61</v>
      </c>
      <c r="N83" s="113" t="s">
        <v>60</v>
      </c>
      <c r="O83" s="113"/>
      <c r="P83" s="37" t="s">
        <v>54</v>
      </c>
      <c r="Q83" s="39"/>
    </row>
    <row r="84" spans="1:17" ht="13">
      <c r="A84" s="32"/>
      <c r="B84" s="40" t="s">
        <v>232</v>
      </c>
      <c r="C84" s="36" t="s">
        <v>119</v>
      </c>
      <c r="D84" s="37" t="s">
        <v>46</v>
      </c>
      <c r="E84" s="41">
        <v>160</v>
      </c>
      <c r="F84" s="35" t="s">
        <v>47</v>
      </c>
      <c r="G84" s="35">
        <v>2</v>
      </c>
      <c r="H84" s="146" t="s">
        <v>216</v>
      </c>
      <c r="I84" s="42" t="s">
        <v>233</v>
      </c>
      <c r="J84" s="42" t="s">
        <v>79</v>
      </c>
      <c r="K84" s="194" t="s">
        <v>234</v>
      </c>
      <c r="L84" s="36" t="s">
        <v>235</v>
      </c>
      <c r="M84" s="36" t="s">
        <v>13</v>
      </c>
      <c r="N84" s="36">
        <v>2000</v>
      </c>
      <c r="O84" s="36" t="s">
        <v>53</v>
      </c>
      <c r="P84" s="37" t="s">
        <v>54</v>
      </c>
      <c r="Q84" s="39"/>
    </row>
    <row r="85" spans="1:17" ht="13">
      <c r="A85" s="32"/>
      <c r="B85" s="40" t="s">
        <v>236</v>
      </c>
      <c r="C85" s="36" t="s">
        <v>119</v>
      </c>
      <c r="D85" s="37" t="s">
        <v>46</v>
      </c>
      <c r="E85" s="41">
        <v>160</v>
      </c>
      <c r="F85" s="35" t="s">
        <v>47</v>
      </c>
      <c r="G85" s="35">
        <v>2</v>
      </c>
      <c r="H85" s="146" t="s">
        <v>216</v>
      </c>
      <c r="I85" s="42" t="s">
        <v>233</v>
      </c>
      <c r="J85" s="42" t="s">
        <v>79</v>
      </c>
      <c r="K85" s="194" t="s">
        <v>60</v>
      </c>
      <c r="L85" s="113" t="s">
        <v>61</v>
      </c>
      <c r="M85" s="113" t="s">
        <v>61</v>
      </c>
      <c r="N85" s="113" t="s">
        <v>60</v>
      </c>
      <c r="O85" s="113"/>
      <c r="P85" s="37" t="s">
        <v>54</v>
      </c>
      <c r="Q85" s="39"/>
    </row>
    <row r="86" spans="1:17" ht="13">
      <c r="A86" s="32"/>
      <c r="B86" s="40" t="s">
        <v>237</v>
      </c>
      <c r="C86" s="36" t="s">
        <v>119</v>
      </c>
      <c r="D86" s="37" t="s">
        <v>46</v>
      </c>
      <c r="E86" s="41">
        <v>160</v>
      </c>
      <c r="F86" s="35" t="s">
        <v>47</v>
      </c>
      <c r="G86" s="35">
        <v>2</v>
      </c>
      <c r="H86" s="146" t="s">
        <v>216</v>
      </c>
      <c r="I86" s="42" t="s">
        <v>233</v>
      </c>
      <c r="J86" s="42" t="s">
        <v>79</v>
      </c>
      <c r="K86" s="194" t="s">
        <v>238</v>
      </c>
      <c r="L86" s="36" t="s">
        <v>239</v>
      </c>
      <c r="M86" s="36" t="s">
        <v>13</v>
      </c>
      <c r="N86" s="36">
        <v>2000</v>
      </c>
      <c r="O86" s="36" t="s">
        <v>53</v>
      </c>
      <c r="P86" s="37" t="s">
        <v>54</v>
      </c>
      <c r="Q86" s="39"/>
    </row>
    <row r="87" spans="1:17" ht="13">
      <c r="A87" s="32"/>
      <c r="B87" s="40" t="s">
        <v>240</v>
      </c>
      <c r="C87" s="36" t="s">
        <v>119</v>
      </c>
      <c r="D87" s="37" t="s">
        <v>46</v>
      </c>
      <c r="E87" s="41">
        <v>160</v>
      </c>
      <c r="F87" s="35" t="s">
        <v>47</v>
      </c>
      <c r="G87" s="35">
        <v>2</v>
      </c>
      <c r="H87" s="146" t="s">
        <v>216</v>
      </c>
      <c r="I87" s="42" t="s">
        <v>233</v>
      </c>
      <c r="J87" s="42" t="s">
        <v>79</v>
      </c>
      <c r="K87" s="194" t="s">
        <v>60</v>
      </c>
      <c r="L87" s="113" t="s">
        <v>61</v>
      </c>
      <c r="M87" s="113" t="s">
        <v>61</v>
      </c>
      <c r="N87" s="113" t="s">
        <v>60</v>
      </c>
      <c r="O87" s="113"/>
      <c r="P87" s="37" t="s">
        <v>54</v>
      </c>
      <c r="Q87" s="39"/>
    </row>
    <row r="88" spans="1:17" ht="13">
      <c r="A88" s="32"/>
      <c r="B88" s="40" t="s">
        <v>241</v>
      </c>
      <c r="C88" s="36" t="s">
        <v>119</v>
      </c>
      <c r="D88" s="37" t="s">
        <v>46</v>
      </c>
      <c r="E88" s="41">
        <v>160</v>
      </c>
      <c r="F88" s="35" t="s">
        <v>47</v>
      </c>
      <c r="G88" s="35">
        <v>2</v>
      </c>
      <c r="H88" s="146" t="s">
        <v>216</v>
      </c>
      <c r="I88" s="42" t="s">
        <v>233</v>
      </c>
      <c r="J88" s="42" t="s">
        <v>79</v>
      </c>
      <c r="K88" s="194" t="s">
        <v>242</v>
      </c>
      <c r="L88" s="36">
        <v>20112290444</v>
      </c>
      <c r="M88" s="36" t="s">
        <v>13</v>
      </c>
      <c r="N88" s="36">
        <v>2000</v>
      </c>
      <c r="O88" s="36" t="s">
        <v>53</v>
      </c>
      <c r="P88" s="37" t="s">
        <v>54</v>
      </c>
      <c r="Q88" s="39"/>
    </row>
    <row r="89" spans="1:17" ht="13">
      <c r="A89" s="32"/>
      <c r="B89" s="40" t="s">
        <v>243</v>
      </c>
      <c r="C89" s="36" t="s">
        <v>119</v>
      </c>
      <c r="D89" s="37" t="s">
        <v>46</v>
      </c>
      <c r="E89" s="41">
        <v>160</v>
      </c>
      <c r="F89" s="35" t="s">
        <v>47</v>
      </c>
      <c r="G89" s="35">
        <v>2</v>
      </c>
      <c r="H89" s="146" t="s">
        <v>216</v>
      </c>
      <c r="I89" s="42" t="s">
        <v>233</v>
      </c>
      <c r="J89" s="42" t="s">
        <v>79</v>
      </c>
      <c r="K89" s="194" t="s">
        <v>60</v>
      </c>
      <c r="L89" s="113" t="s">
        <v>61</v>
      </c>
      <c r="M89" s="113" t="s">
        <v>61</v>
      </c>
      <c r="N89" s="113" t="s">
        <v>60</v>
      </c>
      <c r="O89" s="113"/>
      <c r="P89" s="37" t="s">
        <v>54</v>
      </c>
      <c r="Q89" s="39"/>
    </row>
    <row r="90" spans="1:17" ht="13">
      <c r="A90" s="32"/>
      <c r="B90" s="40" t="s">
        <v>244</v>
      </c>
      <c r="C90" s="36" t="s">
        <v>119</v>
      </c>
      <c r="D90" s="37" t="s">
        <v>46</v>
      </c>
      <c r="E90" s="41">
        <v>160</v>
      </c>
      <c r="F90" s="35" t="s">
        <v>47</v>
      </c>
      <c r="G90" s="35">
        <v>2</v>
      </c>
      <c r="H90" s="146" t="s">
        <v>216</v>
      </c>
      <c r="I90" s="42" t="s">
        <v>233</v>
      </c>
      <c r="J90" s="42" t="s">
        <v>79</v>
      </c>
      <c r="K90" s="194" t="s">
        <v>245</v>
      </c>
      <c r="L90" s="36">
        <v>20112290416</v>
      </c>
      <c r="M90" s="36" t="s">
        <v>13</v>
      </c>
      <c r="N90" s="36">
        <v>2000</v>
      </c>
      <c r="O90" s="36" t="s">
        <v>53</v>
      </c>
      <c r="P90" s="37" t="s">
        <v>54</v>
      </c>
      <c r="Q90" s="39"/>
    </row>
    <row r="91" spans="1:17" ht="13">
      <c r="A91" s="32"/>
      <c r="B91" s="40" t="s">
        <v>246</v>
      </c>
      <c r="C91" s="36" t="s">
        <v>119</v>
      </c>
      <c r="D91" s="37" t="s">
        <v>46</v>
      </c>
      <c r="E91" s="41">
        <v>160</v>
      </c>
      <c r="F91" s="35" t="s">
        <v>47</v>
      </c>
      <c r="G91" s="35">
        <v>2</v>
      </c>
      <c r="H91" s="146" t="s">
        <v>216</v>
      </c>
      <c r="I91" s="42" t="s">
        <v>233</v>
      </c>
      <c r="J91" s="42" t="s">
        <v>79</v>
      </c>
      <c r="K91" s="194" t="s">
        <v>60</v>
      </c>
      <c r="L91" s="113" t="s">
        <v>61</v>
      </c>
      <c r="M91" s="113" t="s">
        <v>61</v>
      </c>
      <c r="N91" s="113" t="s">
        <v>60</v>
      </c>
      <c r="O91" s="113"/>
      <c r="P91" s="37" t="s">
        <v>54</v>
      </c>
      <c r="Q91" s="39"/>
    </row>
    <row r="92" spans="1:17" ht="13">
      <c r="A92" s="32"/>
      <c r="B92" s="40" t="s">
        <v>247</v>
      </c>
      <c r="C92" s="36" t="s">
        <v>119</v>
      </c>
      <c r="D92" s="37" t="s">
        <v>46</v>
      </c>
      <c r="E92" s="41">
        <v>160</v>
      </c>
      <c r="F92" s="35" t="s">
        <v>47</v>
      </c>
      <c r="G92" s="35">
        <v>3</v>
      </c>
      <c r="H92" s="146" t="s">
        <v>248</v>
      </c>
      <c r="I92" s="42" t="s">
        <v>249</v>
      </c>
      <c r="J92" s="42" t="s">
        <v>79</v>
      </c>
      <c r="K92" s="194" t="s">
        <v>250</v>
      </c>
      <c r="L92" s="36" t="s">
        <v>251</v>
      </c>
      <c r="M92" s="36" t="s">
        <v>13</v>
      </c>
      <c r="N92" s="36">
        <v>2000</v>
      </c>
      <c r="O92" s="36" t="s">
        <v>53</v>
      </c>
      <c r="P92" s="37" t="s">
        <v>54</v>
      </c>
      <c r="Q92" s="39"/>
    </row>
    <row r="93" spans="1:17" ht="13">
      <c r="A93" s="32"/>
      <c r="B93" s="40" t="s">
        <v>252</v>
      </c>
      <c r="C93" s="36" t="s">
        <v>119</v>
      </c>
      <c r="D93" s="37" t="s">
        <v>46</v>
      </c>
      <c r="E93" s="41">
        <v>160</v>
      </c>
      <c r="F93" s="35" t="s">
        <v>47</v>
      </c>
      <c r="G93" s="35">
        <v>3</v>
      </c>
      <c r="H93" s="146" t="s">
        <v>248</v>
      </c>
      <c r="I93" s="42" t="s">
        <v>249</v>
      </c>
      <c r="J93" s="42" t="s">
        <v>79</v>
      </c>
      <c r="K93" s="194" t="s">
        <v>60</v>
      </c>
      <c r="L93" s="113" t="s">
        <v>61</v>
      </c>
      <c r="M93" s="113" t="s">
        <v>61</v>
      </c>
      <c r="N93" s="113" t="s">
        <v>60</v>
      </c>
      <c r="O93" s="113"/>
      <c r="P93" s="37" t="s">
        <v>54</v>
      </c>
      <c r="Q93" s="39"/>
    </row>
    <row r="94" spans="1:17" ht="13">
      <c r="A94" s="32"/>
      <c r="B94" s="40" t="s">
        <v>253</v>
      </c>
      <c r="C94" s="36" t="s">
        <v>119</v>
      </c>
      <c r="D94" s="37" t="s">
        <v>46</v>
      </c>
      <c r="E94" s="41">
        <v>160</v>
      </c>
      <c r="F94" s="35" t="s">
        <v>47</v>
      </c>
      <c r="G94" s="35">
        <v>3</v>
      </c>
      <c r="H94" s="146" t="s">
        <v>248</v>
      </c>
      <c r="I94" s="42" t="s">
        <v>249</v>
      </c>
      <c r="J94" s="42" t="s">
        <v>79</v>
      </c>
      <c r="K94" s="194" t="s">
        <v>254</v>
      </c>
      <c r="L94" s="36" t="s">
        <v>255</v>
      </c>
      <c r="M94" s="36" t="s">
        <v>13</v>
      </c>
      <c r="N94" s="36">
        <v>2000</v>
      </c>
      <c r="O94" s="36" t="s">
        <v>53</v>
      </c>
      <c r="P94" s="37" t="s">
        <v>54</v>
      </c>
      <c r="Q94" s="39"/>
    </row>
    <row r="95" spans="1:17" ht="13">
      <c r="A95" s="32"/>
      <c r="B95" s="40" t="s">
        <v>256</v>
      </c>
      <c r="C95" s="36" t="s">
        <v>119</v>
      </c>
      <c r="D95" s="37" t="s">
        <v>46</v>
      </c>
      <c r="E95" s="41">
        <v>160</v>
      </c>
      <c r="F95" s="35" t="s">
        <v>47</v>
      </c>
      <c r="G95" s="35">
        <v>3</v>
      </c>
      <c r="H95" s="146" t="s">
        <v>248</v>
      </c>
      <c r="I95" s="42" t="s">
        <v>249</v>
      </c>
      <c r="J95" s="42" t="s">
        <v>79</v>
      </c>
      <c r="K95" s="194" t="s">
        <v>60</v>
      </c>
      <c r="L95" s="113" t="s">
        <v>61</v>
      </c>
      <c r="M95" s="113" t="s">
        <v>61</v>
      </c>
      <c r="N95" s="113" t="s">
        <v>60</v>
      </c>
      <c r="O95" s="113"/>
      <c r="P95" s="37" t="s">
        <v>54</v>
      </c>
      <c r="Q95" s="39"/>
    </row>
    <row r="96" spans="1:17" ht="13">
      <c r="A96" s="32"/>
      <c r="B96" s="40" t="s">
        <v>257</v>
      </c>
      <c r="C96" s="36" t="s">
        <v>119</v>
      </c>
      <c r="D96" s="37" t="s">
        <v>46</v>
      </c>
      <c r="E96" s="41">
        <v>160</v>
      </c>
      <c r="F96" s="35" t="s">
        <v>47</v>
      </c>
      <c r="G96" s="35">
        <v>3</v>
      </c>
      <c r="H96" s="146" t="s">
        <v>248</v>
      </c>
      <c r="I96" s="42" t="s">
        <v>249</v>
      </c>
      <c r="J96" s="42" t="s">
        <v>79</v>
      </c>
      <c r="K96" s="194" t="s">
        <v>258</v>
      </c>
      <c r="L96" s="36" t="s">
        <v>259</v>
      </c>
      <c r="M96" s="36" t="s">
        <v>13</v>
      </c>
      <c r="N96" s="36">
        <v>2000</v>
      </c>
      <c r="O96" s="36" t="s">
        <v>53</v>
      </c>
      <c r="P96" s="37" t="s">
        <v>54</v>
      </c>
      <c r="Q96" s="39"/>
    </row>
    <row r="97" spans="1:17" ht="13">
      <c r="A97" s="32"/>
      <c r="B97" s="40" t="s">
        <v>260</v>
      </c>
      <c r="C97" s="36" t="s">
        <v>119</v>
      </c>
      <c r="D97" s="37" t="s">
        <v>46</v>
      </c>
      <c r="E97" s="41">
        <v>160</v>
      </c>
      <c r="F97" s="35" t="s">
        <v>47</v>
      </c>
      <c r="G97" s="35">
        <v>3</v>
      </c>
      <c r="H97" s="146" t="s">
        <v>248</v>
      </c>
      <c r="I97" s="42" t="s">
        <v>249</v>
      </c>
      <c r="J97" s="42" t="s">
        <v>79</v>
      </c>
      <c r="K97" s="194" t="s">
        <v>60</v>
      </c>
      <c r="L97" s="113" t="s">
        <v>61</v>
      </c>
      <c r="M97" s="113" t="s">
        <v>61</v>
      </c>
      <c r="N97" s="113" t="s">
        <v>60</v>
      </c>
      <c r="O97" s="113"/>
      <c r="P97" s="37" t="s">
        <v>54</v>
      </c>
      <c r="Q97" s="39"/>
    </row>
    <row r="98" spans="1:17" ht="13">
      <c r="A98" s="32"/>
      <c r="B98" s="40" t="s">
        <v>261</v>
      </c>
      <c r="C98" s="36" t="s">
        <v>119</v>
      </c>
      <c r="D98" s="37" t="s">
        <v>46</v>
      </c>
      <c r="E98" s="41">
        <v>160</v>
      </c>
      <c r="F98" s="35" t="s">
        <v>47</v>
      </c>
      <c r="G98" s="35">
        <v>3</v>
      </c>
      <c r="H98" s="146" t="s">
        <v>248</v>
      </c>
      <c r="I98" s="42" t="s">
        <v>249</v>
      </c>
      <c r="J98" s="42" t="s">
        <v>79</v>
      </c>
      <c r="K98" s="194" t="s">
        <v>262</v>
      </c>
      <c r="L98" s="36" t="s">
        <v>263</v>
      </c>
      <c r="M98" s="36" t="s">
        <v>13</v>
      </c>
      <c r="N98" s="36">
        <v>2000</v>
      </c>
      <c r="O98" s="36" t="s">
        <v>53</v>
      </c>
      <c r="P98" s="37" t="s">
        <v>54</v>
      </c>
      <c r="Q98" s="39"/>
    </row>
    <row r="99" spans="1:17" ht="13">
      <c r="A99" s="32"/>
      <c r="B99" s="40" t="s">
        <v>264</v>
      </c>
      <c r="C99" s="36" t="s">
        <v>119</v>
      </c>
      <c r="D99" s="37" t="s">
        <v>46</v>
      </c>
      <c r="E99" s="41">
        <v>160</v>
      </c>
      <c r="F99" s="35" t="s">
        <v>47</v>
      </c>
      <c r="G99" s="35">
        <v>3</v>
      </c>
      <c r="H99" s="146" t="s">
        <v>248</v>
      </c>
      <c r="I99" s="42" t="s">
        <v>249</v>
      </c>
      <c r="J99" s="42" t="s">
        <v>79</v>
      </c>
      <c r="K99" s="194" t="s">
        <v>60</v>
      </c>
      <c r="L99" s="113" t="s">
        <v>61</v>
      </c>
      <c r="M99" s="113" t="s">
        <v>61</v>
      </c>
      <c r="N99" s="113" t="s">
        <v>60</v>
      </c>
      <c r="O99" s="113"/>
      <c r="P99" s="37" t="s">
        <v>54</v>
      </c>
      <c r="Q99" s="39"/>
    </row>
    <row r="100" spans="1:17" ht="13">
      <c r="A100" s="32"/>
      <c r="B100" s="40" t="s">
        <v>265</v>
      </c>
      <c r="C100" s="36" t="s">
        <v>119</v>
      </c>
      <c r="D100" s="37" t="s">
        <v>46</v>
      </c>
      <c r="E100" s="41">
        <v>160</v>
      </c>
      <c r="F100" s="35" t="s">
        <v>47</v>
      </c>
      <c r="G100" s="35">
        <v>3</v>
      </c>
      <c r="H100" s="146" t="s">
        <v>248</v>
      </c>
      <c r="I100" s="42" t="s">
        <v>249</v>
      </c>
      <c r="J100" s="42" t="s">
        <v>79</v>
      </c>
      <c r="K100" s="194" t="s">
        <v>266</v>
      </c>
      <c r="L100" s="36">
        <v>20112290347</v>
      </c>
      <c r="M100" s="36" t="s">
        <v>13</v>
      </c>
      <c r="N100" s="36">
        <v>2000</v>
      </c>
      <c r="O100" s="36" t="s">
        <v>53</v>
      </c>
      <c r="P100" s="37" t="s">
        <v>54</v>
      </c>
      <c r="Q100" s="39"/>
    </row>
    <row r="101" spans="1:17" ht="13">
      <c r="A101" s="32"/>
      <c r="B101" s="40" t="s">
        <v>267</v>
      </c>
      <c r="C101" s="36" t="s">
        <v>119</v>
      </c>
      <c r="D101" s="37" t="s">
        <v>46</v>
      </c>
      <c r="E101" s="41">
        <v>160</v>
      </c>
      <c r="F101" s="35" t="s">
        <v>47</v>
      </c>
      <c r="G101" s="35">
        <v>3</v>
      </c>
      <c r="H101" s="146" t="s">
        <v>248</v>
      </c>
      <c r="I101" s="42" t="s">
        <v>249</v>
      </c>
      <c r="J101" s="42" t="s">
        <v>79</v>
      </c>
      <c r="K101" s="194" t="s">
        <v>60</v>
      </c>
      <c r="L101" s="113" t="s">
        <v>61</v>
      </c>
      <c r="M101" s="113" t="s">
        <v>61</v>
      </c>
      <c r="N101" s="113" t="s">
        <v>60</v>
      </c>
      <c r="O101" s="113"/>
      <c r="P101" s="37" t="s">
        <v>54</v>
      </c>
      <c r="Q101" s="39"/>
    </row>
    <row r="102" spans="1:17" ht="13">
      <c r="A102" s="32"/>
      <c r="B102" s="40" t="s">
        <v>268</v>
      </c>
      <c r="C102" s="36" t="s">
        <v>119</v>
      </c>
      <c r="D102" s="37" t="s">
        <v>46</v>
      </c>
      <c r="E102" s="41">
        <v>160</v>
      </c>
      <c r="F102" s="35" t="s">
        <v>47</v>
      </c>
      <c r="G102" s="35">
        <v>3</v>
      </c>
      <c r="H102" s="146" t="s">
        <v>248</v>
      </c>
      <c r="I102" s="42" t="s">
        <v>249</v>
      </c>
      <c r="J102" s="42" t="s">
        <v>79</v>
      </c>
      <c r="K102" s="194" t="s">
        <v>269</v>
      </c>
      <c r="L102" s="36" t="s">
        <v>270</v>
      </c>
      <c r="M102" s="36" t="s">
        <v>97</v>
      </c>
      <c r="N102" s="36">
        <v>2600</v>
      </c>
      <c r="O102" s="36" t="s">
        <v>82</v>
      </c>
      <c r="P102" s="37" t="s">
        <v>54</v>
      </c>
      <c r="Q102" s="39"/>
    </row>
    <row r="103" spans="1:17" ht="13">
      <c r="A103" s="32"/>
      <c r="B103" s="40" t="s">
        <v>271</v>
      </c>
      <c r="C103" s="36" t="s">
        <v>119</v>
      </c>
      <c r="D103" s="37" t="s">
        <v>46</v>
      </c>
      <c r="E103" s="41">
        <v>160</v>
      </c>
      <c r="F103" s="35" t="s">
        <v>47</v>
      </c>
      <c r="G103" s="35">
        <v>3</v>
      </c>
      <c r="H103" s="146" t="s">
        <v>248</v>
      </c>
      <c r="I103" s="42" t="s">
        <v>249</v>
      </c>
      <c r="J103" s="42" t="s">
        <v>79</v>
      </c>
      <c r="K103" s="194" t="s">
        <v>60</v>
      </c>
      <c r="L103" s="113" t="s">
        <v>61</v>
      </c>
      <c r="M103" s="113" t="s">
        <v>61</v>
      </c>
      <c r="N103" s="113" t="s">
        <v>60</v>
      </c>
      <c r="O103" s="113"/>
      <c r="P103" s="37" t="s">
        <v>54</v>
      </c>
      <c r="Q103" s="39"/>
    </row>
    <row r="104" spans="1:17" ht="13">
      <c r="A104" s="32"/>
      <c r="B104" s="40" t="s">
        <v>272</v>
      </c>
      <c r="C104" s="36" t="s">
        <v>119</v>
      </c>
      <c r="D104" s="37" t="s">
        <v>46</v>
      </c>
      <c r="E104" s="41">
        <v>160</v>
      </c>
      <c r="F104" s="35" t="s">
        <v>47</v>
      </c>
      <c r="G104" s="35">
        <v>3</v>
      </c>
      <c r="H104" s="146" t="s">
        <v>248</v>
      </c>
      <c r="I104" s="42" t="s">
        <v>249</v>
      </c>
      <c r="J104" s="42" t="s">
        <v>79</v>
      </c>
      <c r="K104" s="194" t="s">
        <v>273</v>
      </c>
      <c r="L104" s="36" t="s">
        <v>274</v>
      </c>
      <c r="M104" s="36" t="s">
        <v>13</v>
      </c>
      <c r="N104" s="36">
        <v>2000</v>
      </c>
      <c r="O104" s="36" t="s">
        <v>53</v>
      </c>
      <c r="P104" s="37" t="s">
        <v>54</v>
      </c>
      <c r="Q104" s="39"/>
    </row>
    <row r="105" spans="1:17" ht="13">
      <c r="A105" s="32"/>
      <c r="B105" s="40" t="s">
        <v>275</v>
      </c>
      <c r="C105" s="36" t="s">
        <v>119</v>
      </c>
      <c r="D105" s="37" t="s">
        <v>46</v>
      </c>
      <c r="E105" s="41">
        <v>160</v>
      </c>
      <c r="F105" s="35" t="s">
        <v>47</v>
      </c>
      <c r="G105" s="35">
        <v>3</v>
      </c>
      <c r="H105" s="146" t="s">
        <v>248</v>
      </c>
      <c r="I105" s="42" t="s">
        <v>249</v>
      </c>
      <c r="J105" s="42" t="s">
        <v>79</v>
      </c>
      <c r="K105" s="194" t="s">
        <v>60</v>
      </c>
      <c r="L105" s="113" t="s">
        <v>61</v>
      </c>
      <c r="M105" s="113" t="s">
        <v>61</v>
      </c>
      <c r="N105" s="113" t="s">
        <v>60</v>
      </c>
      <c r="O105" s="113"/>
      <c r="P105" s="37" t="s">
        <v>54</v>
      </c>
      <c r="Q105" s="39"/>
    </row>
    <row r="106" spans="1:17" ht="13">
      <c r="A106" s="32"/>
      <c r="B106" s="40" t="s">
        <v>276</v>
      </c>
      <c r="C106" s="36" t="s">
        <v>119</v>
      </c>
      <c r="D106" s="37" t="s">
        <v>46</v>
      </c>
      <c r="E106" s="41">
        <v>160</v>
      </c>
      <c r="F106" s="35" t="s">
        <v>47</v>
      </c>
      <c r="G106" s="35">
        <v>3</v>
      </c>
      <c r="H106" s="146" t="s">
        <v>248</v>
      </c>
      <c r="I106" s="42" t="s">
        <v>249</v>
      </c>
      <c r="J106" s="42" t="s">
        <v>79</v>
      </c>
      <c r="K106" s="194" t="s">
        <v>277</v>
      </c>
      <c r="L106" s="36" t="s">
        <v>278</v>
      </c>
      <c r="M106" s="36" t="s">
        <v>13</v>
      </c>
      <c r="N106" s="36">
        <v>2000</v>
      </c>
      <c r="O106" s="36" t="s">
        <v>53</v>
      </c>
      <c r="P106" s="37" t="s">
        <v>54</v>
      </c>
      <c r="Q106" s="39"/>
    </row>
    <row r="107" spans="1:17" ht="13">
      <c r="A107" s="32"/>
      <c r="B107" s="40" t="s">
        <v>279</v>
      </c>
      <c r="C107" s="36" t="s">
        <v>119</v>
      </c>
      <c r="D107" s="37" t="s">
        <v>46</v>
      </c>
      <c r="E107" s="41">
        <v>160</v>
      </c>
      <c r="F107" s="35" t="s">
        <v>47</v>
      </c>
      <c r="G107" s="35">
        <v>3</v>
      </c>
      <c r="H107" s="146" t="s">
        <v>248</v>
      </c>
      <c r="I107" s="42" t="s">
        <v>249</v>
      </c>
      <c r="J107" s="42" t="s">
        <v>79</v>
      </c>
      <c r="K107" s="194" t="s">
        <v>60</v>
      </c>
      <c r="L107" s="113" t="s">
        <v>61</v>
      </c>
      <c r="M107" s="113" t="s">
        <v>61</v>
      </c>
      <c r="N107" s="113" t="s">
        <v>60</v>
      </c>
      <c r="O107" s="113"/>
      <c r="P107" s="37" t="s">
        <v>54</v>
      </c>
      <c r="Q107" s="39"/>
    </row>
    <row r="108" spans="1:17" ht="13">
      <c r="A108" s="32"/>
      <c r="B108" s="40" t="s">
        <v>280</v>
      </c>
      <c r="C108" s="36" t="s">
        <v>119</v>
      </c>
      <c r="D108" s="37" t="s">
        <v>46</v>
      </c>
      <c r="E108" s="41">
        <v>160</v>
      </c>
      <c r="F108" s="35" t="s">
        <v>47</v>
      </c>
      <c r="G108" s="35">
        <v>3</v>
      </c>
      <c r="H108" s="146" t="s">
        <v>248</v>
      </c>
      <c r="I108" s="42" t="s">
        <v>249</v>
      </c>
      <c r="J108" s="42" t="s">
        <v>79</v>
      </c>
      <c r="K108" s="194" t="s">
        <v>281</v>
      </c>
      <c r="L108" s="36" t="s">
        <v>282</v>
      </c>
      <c r="M108" s="36" t="s">
        <v>13</v>
      </c>
      <c r="N108" s="36">
        <v>2000</v>
      </c>
      <c r="O108" s="36" t="s">
        <v>53</v>
      </c>
      <c r="P108" s="37" t="s">
        <v>54</v>
      </c>
      <c r="Q108" s="39"/>
    </row>
    <row r="109" spans="1:17" ht="13">
      <c r="A109" s="32"/>
      <c r="B109" s="40" t="s">
        <v>283</v>
      </c>
      <c r="C109" s="36" t="s">
        <v>119</v>
      </c>
      <c r="D109" s="37" t="s">
        <v>46</v>
      </c>
      <c r="E109" s="41">
        <v>160</v>
      </c>
      <c r="F109" s="35" t="s">
        <v>47</v>
      </c>
      <c r="G109" s="35">
        <v>3</v>
      </c>
      <c r="H109" s="146" t="s">
        <v>248</v>
      </c>
      <c r="I109" s="42" t="s">
        <v>249</v>
      </c>
      <c r="J109" s="42" t="s">
        <v>79</v>
      </c>
      <c r="K109" s="194" t="s">
        <v>60</v>
      </c>
      <c r="L109" s="113" t="s">
        <v>61</v>
      </c>
      <c r="M109" s="113" t="s">
        <v>61</v>
      </c>
      <c r="N109" s="113" t="s">
        <v>60</v>
      </c>
      <c r="O109" s="113"/>
      <c r="P109" s="37" t="s">
        <v>54</v>
      </c>
      <c r="Q109" s="39"/>
    </row>
    <row r="110" spans="1:17" ht="13">
      <c r="A110" s="32"/>
      <c r="B110" s="40" t="s">
        <v>284</v>
      </c>
      <c r="C110" s="36" t="s">
        <v>119</v>
      </c>
      <c r="D110" s="37" t="s">
        <v>46</v>
      </c>
      <c r="E110" s="41">
        <v>160</v>
      </c>
      <c r="F110" s="35" t="s">
        <v>47</v>
      </c>
      <c r="G110" s="35">
        <v>3</v>
      </c>
      <c r="H110" s="146" t="s">
        <v>248</v>
      </c>
      <c r="I110" s="42" t="s">
        <v>249</v>
      </c>
      <c r="J110" s="42" t="s">
        <v>79</v>
      </c>
      <c r="K110" s="194" t="s">
        <v>285</v>
      </c>
      <c r="L110" s="36" t="s">
        <v>286</v>
      </c>
      <c r="M110" s="36" t="s">
        <v>13</v>
      </c>
      <c r="N110" s="36">
        <v>2000</v>
      </c>
      <c r="O110" s="36" t="s">
        <v>53</v>
      </c>
      <c r="P110" s="37" t="s">
        <v>54</v>
      </c>
      <c r="Q110" s="39"/>
    </row>
    <row r="111" spans="1:17" ht="13">
      <c r="A111" s="32"/>
      <c r="B111" s="40" t="s">
        <v>287</v>
      </c>
      <c r="C111" s="36" t="s">
        <v>119</v>
      </c>
      <c r="D111" s="37" t="s">
        <v>46</v>
      </c>
      <c r="E111" s="41">
        <v>160</v>
      </c>
      <c r="F111" s="35" t="s">
        <v>47</v>
      </c>
      <c r="G111" s="35">
        <v>3</v>
      </c>
      <c r="H111" s="146" t="s">
        <v>248</v>
      </c>
      <c r="I111" s="42" t="s">
        <v>249</v>
      </c>
      <c r="J111" s="42" t="s">
        <v>79</v>
      </c>
      <c r="K111" s="194" t="s">
        <v>60</v>
      </c>
      <c r="L111" s="113" t="s">
        <v>61</v>
      </c>
      <c r="M111" s="113" t="s">
        <v>61</v>
      </c>
      <c r="N111" s="113" t="s">
        <v>60</v>
      </c>
      <c r="O111" s="113"/>
      <c r="P111" s="37" t="s">
        <v>54</v>
      </c>
      <c r="Q111" s="39"/>
    </row>
    <row r="112" spans="1:17" ht="13">
      <c r="A112" s="32"/>
      <c r="B112" s="40" t="s">
        <v>288</v>
      </c>
      <c r="C112" s="36" t="s">
        <v>119</v>
      </c>
      <c r="D112" s="37" t="s">
        <v>46</v>
      </c>
      <c r="E112" s="41">
        <v>160</v>
      </c>
      <c r="F112" s="35" t="s">
        <v>47</v>
      </c>
      <c r="G112" s="35">
        <v>3</v>
      </c>
      <c r="H112" s="146" t="s">
        <v>248</v>
      </c>
      <c r="I112" s="42" t="s">
        <v>289</v>
      </c>
      <c r="J112" s="42" t="s">
        <v>79</v>
      </c>
      <c r="K112" s="194" t="s">
        <v>290</v>
      </c>
      <c r="L112" s="36">
        <v>20112290350</v>
      </c>
      <c r="M112" s="36" t="s">
        <v>13</v>
      </c>
      <c r="N112" s="36">
        <v>2000</v>
      </c>
      <c r="O112" s="36" t="s">
        <v>53</v>
      </c>
      <c r="P112" s="37" t="s">
        <v>54</v>
      </c>
      <c r="Q112" s="39"/>
    </row>
    <row r="113" spans="1:17" ht="13">
      <c r="A113" s="32"/>
      <c r="B113" s="40" t="s">
        <v>291</v>
      </c>
      <c r="C113" s="36" t="s">
        <v>119</v>
      </c>
      <c r="D113" s="37" t="s">
        <v>46</v>
      </c>
      <c r="E113" s="41">
        <v>160</v>
      </c>
      <c r="F113" s="35" t="s">
        <v>47</v>
      </c>
      <c r="G113" s="35">
        <v>3</v>
      </c>
      <c r="H113" s="146" t="s">
        <v>248</v>
      </c>
      <c r="I113" s="42" t="s">
        <v>289</v>
      </c>
      <c r="J113" s="42" t="s">
        <v>79</v>
      </c>
      <c r="K113" s="194" t="s">
        <v>60</v>
      </c>
      <c r="L113" s="113" t="s">
        <v>61</v>
      </c>
      <c r="M113" s="113" t="s">
        <v>61</v>
      </c>
      <c r="N113" s="113" t="s">
        <v>60</v>
      </c>
      <c r="O113" s="113"/>
      <c r="P113" s="37" t="s">
        <v>54</v>
      </c>
      <c r="Q113" s="39"/>
    </row>
    <row r="114" spans="1:17" ht="13">
      <c r="A114" s="32"/>
      <c r="B114" s="40" t="s">
        <v>292</v>
      </c>
      <c r="C114" s="36" t="s">
        <v>119</v>
      </c>
      <c r="D114" s="37" t="s">
        <v>46</v>
      </c>
      <c r="E114" s="41">
        <v>160</v>
      </c>
      <c r="F114" s="35" t="s">
        <v>47</v>
      </c>
      <c r="G114" s="35">
        <v>3</v>
      </c>
      <c r="H114" s="146" t="s">
        <v>248</v>
      </c>
      <c r="I114" s="42" t="s">
        <v>289</v>
      </c>
      <c r="J114" s="42" t="s">
        <v>79</v>
      </c>
      <c r="K114" s="194" t="s">
        <v>293</v>
      </c>
      <c r="L114" s="36">
        <v>20112290439</v>
      </c>
      <c r="M114" s="36" t="s">
        <v>13</v>
      </c>
      <c r="N114" s="36">
        <v>2000</v>
      </c>
      <c r="O114" s="36" t="s">
        <v>53</v>
      </c>
      <c r="P114" s="37" t="s">
        <v>54</v>
      </c>
      <c r="Q114" s="39"/>
    </row>
    <row r="115" spans="1:17" ht="13">
      <c r="A115" s="32"/>
      <c r="B115" s="40" t="s">
        <v>294</v>
      </c>
      <c r="C115" s="36" t="s">
        <v>119</v>
      </c>
      <c r="D115" s="37" t="s">
        <v>46</v>
      </c>
      <c r="E115" s="41">
        <v>160</v>
      </c>
      <c r="F115" s="35" t="s">
        <v>47</v>
      </c>
      <c r="G115" s="35">
        <v>3</v>
      </c>
      <c r="H115" s="146" t="s">
        <v>248</v>
      </c>
      <c r="I115" s="42" t="s">
        <v>289</v>
      </c>
      <c r="J115" s="42" t="s">
        <v>79</v>
      </c>
      <c r="K115" s="194" t="s">
        <v>60</v>
      </c>
      <c r="L115" s="113" t="s">
        <v>61</v>
      </c>
      <c r="M115" s="113" t="s">
        <v>61</v>
      </c>
      <c r="N115" s="113" t="s">
        <v>60</v>
      </c>
      <c r="O115" s="113"/>
      <c r="P115" s="37" t="s">
        <v>54</v>
      </c>
      <c r="Q115" s="39"/>
    </row>
    <row r="116" spans="1:17" ht="13">
      <c r="A116" s="32"/>
      <c r="B116" s="40" t="s">
        <v>295</v>
      </c>
      <c r="C116" s="36" t="s">
        <v>119</v>
      </c>
      <c r="D116" s="37" t="s">
        <v>46</v>
      </c>
      <c r="E116" s="41">
        <v>160</v>
      </c>
      <c r="F116" s="35" t="s">
        <v>47</v>
      </c>
      <c r="G116" s="35">
        <v>3</v>
      </c>
      <c r="H116" s="146" t="s">
        <v>248</v>
      </c>
      <c r="I116" s="42" t="s">
        <v>289</v>
      </c>
      <c r="J116" s="42" t="s">
        <v>79</v>
      </c>
      <c r="K116" s="194" t="s">
        <v>296</v>
      </c>
      <c r="L116" s="36">
        <v>20112290373</v>
      </c>
      <c r="M116" s="36" t="s">
        <v>13</v>
      </c>
      <c r="N116" s="36">
        <v>2000</v>
      </c>
      <c r="O116" s="36" t="s">
        <v>53</v>
      </c>
      <c r="P116" s="37" t="s">
        <v>54</v>
      </c>
      <c r="Q116" s="39"/>
    </row>
    <row r="117" spans="1:17" ht="13">
      <c r="A117" s="32"/>
      <c r="B117" s="40" t="s">
        <v>297</v>
      </c>
      <c r="C117" s="36" t="s">
        <v>119</v>
      </c>
      <c r="D117" s="37" t="s">
        <v>46</v>
      </c>
      <c r="E117" s="41">
        <v>160</v>
      </c>
      <c r="F117" s="35" t="s">
        <v>47</v>
      </c>
      <c r="G117" s="35">
        <v>3</v>
      </c>
      <c r="H117" s="146" t="s">
        <v>248</v>
      </c>
      <c r="I117" s="42" t="s">
        <v>289</v>
      </c>
      <c r="J117" s="42" t="s">
        <v>79</v>
      </c>
      <c r="K117" s="194" t="s">
        <v>60</v>
      </c>
      <c r="L117" s="113" t="s">
        <v>61</v>
      </c>
      <c r="M117" s="113" t="s">
        <v>61</v>
      </c>
      <c r="N117" s="113" t="s">
        <v>60</v>
      </c>
      <c r="O117" s="113"/>
      <c r="P117" s="37" t="s">
        <v>54</v>
      </c>
      <c r="Q117" s="39"/>
    </row>
    <row r="118" spans="1:17" ht="13">
      <c r="A118" s="32"/>
      <c r="B118" s="40" t="s">
        <v>298</v>
      </c>
      <c r="C118" s="36" t="s">
        <v>119</v>
      </c>
      <c r="D118" s="37" t="s">
        <v>46</v>
      </c>
      <c r="E118" s="41">
        <v>160</v>
      </c>
      <c r="F118" s="35" t="s">
        <v>47</v>
      </c>
      <c r="G118" s="35">
        <v>3</v>
      </c>
      <c r="H118" s="146" t="s">
        <v>248</v>
      </c>
      <c r="I118" s="42" t="s">
        <v>289</v>
      </c>
      <c r="J118" s="42" t="s">
        <v>79</v>
      </c>
      <c r="K118" s="194" t="s">
        <v>299</v>
      </c>
      <c r="L118" s="36">
        <v>20112290440</v>
      </c>
      <c r="M118" s="36" t="s">
        <v>13</v>
      </c>
      <c r="N118" s="36">
        <v>2000</v>
      </c>
      <c r="O118" s="36" t="s">
        <v>53</v>
      </c>
      <c r="P118" s="37" t="s">
        <v>54</v>
      </c>
      <c r="Q118" s="39"/>
    </row>
    <row r="119" spans="1:17" ht="13">
      <c r="A119" s="32"/>
      <c r="B119" s="40" t="s">
        <v>300</v>
      </c>
      <c r="C119" s="36" t="s">
        <v>119</v>
      </c>
      <c r="D119" s="37" t="s">
        <v>46</v>
      </c>
      <c r="E119" s="41">
        <v>160</v>
      </c>
      <c r="F119" s="35" t="s">
        <v>47</v>
      </c>
      <c r="G119" s="35">
        <v>3</v>
      </c>
      <c r="H119" s="146" t="s">
        <v>248</v>
      </c>
      <c r="I119" s="42" t="s">
        <v>289</v>
      </c>
      <c r="J119" s="42" t="s">
        <v>79</v>
      </c>
      <c r="K119" s="194" t="s">
        <v>60</v>
      </c>
      <c r="L119" s="113" t="s">
        <v>61</v>
      </c>
      <c r="M119" s="113" t="s">
        <v>61</v>
      </c>
      <c r="N119" s="113" t="s">
        <v>60</v>
      </c>
      <c r="O119" s="113"/>
      <c r="P119" s="37" t="s">
        <v>54</v>
      </c>
      <c r="Q119" s="39"/>
    </row>
    <row r="120" spans="1:17" ht="13">
      <c r="A120" s="32"/>
      <c r="B120" s="40" t="s">
        <v>301</v>
      </c>
      <c r="C120" s="36" t="s">
        <v>119</v>
      </c>
      <c r="D120" s="37" t="s">
        <v>46</v>
      </c>
      <c r="E120" s="41">
        <v>160</v>
      </c>
      <c r="F120" s="35" t="s">
        <v>47</v>
      </c>
      <c r="G120" s="35">
        <v>3</v>
      </c>
      <c r="H120" s="146" t="s">
        <v>248</v>
      </c>
      <c r="I120" s="42" t="s">
        <v>289</v>
      </c>
      <c r="J120" s="42" t="s">
        <v>79</v>
      </c>
      <c r="K120" s="194" t="s">
        <v>302</v>
      </c>
      <c r="L120" s="36">
        <v>20112402820</v>
      </c>
      <c r="M120" s="36" t="s">
        <v>13</v>
      </c>
      <c r="N120" s="36">
        <v>2000</v>
      </c>
      <c r="O120" s="36" t="s">
        <v>53</v>
      </c>
      <c r="P120" s="37" t="s">
        <v>54</v>
      </c>
      <c r="Q120" s="39"/>
    </row>
    <row r="121" spans="1:17" ht="13">
      <c r="A121" s="32"/>
      <c r="B121" s="40" t="s">
        <v>303</v>
      </c>
      <c r="C121" s="36" t="s">
        <v>119</v>
      </c>
      <c r="D121" s="37" t="s">
        <v>46</v>
      </c>
      <c r="E121" s="41">
        <v>160</v>
      </c>
      <c r="F121" s="35" t="s">
        <v>47</v>
      </c>
      <c r="G121" s="35">
        <v>3</v>
      </c>
      <c r="H121" s="146" t="s">
        <v>248</v>
      </c>
      <c r="I121" s="42" t="s">
        <v>289</v>
      </c>
      <c r="J121" s="42" t="s">
        <v>79</v>
      </c>
      <c r="K121" s="194" t="s">
        <v>60</v>
      </c>
      <c r="L121" s="113" t="s">
        <v>61</v>
      </c>
      <c r="M121" s="113" t="s">
        <v>61</v>
      </c>
      <c r="N121" s="113" t="s">
        <v>60</v>
      </c>
      <c r="O121" s="113"/>
      <c r="P121" s="37" t="s">
        <v>54</v>
      </c>
      <c r="Q121" s="39"/>
    </row>
    <row r="122" spans="1:17" ht="13">
      <c r="A122" s="32"/>
      <c r="B122" s="40" t="s">
        <v>304</v>
      </c>
      <c r="C122" s="36" t="s">
        <v>119</v>
      </c>
      <c r="D122" s="37" t="s">
        <v>46</v>
      </c>
      <c r="E122" s="41">
        <v>160</v>
      </c>
      <c r="F122" s="35" t="s">
        <v>47</v>
      </c>
      <c r="G122" s="35">
        <v>3</v>
      </c>
      <c r="H122" s="146" t="s">
        <v>248</v>
      </c>
      <c r="I122" s="42" t="s">
        <v>289</v>
      </c>
      <c r="J122" s="42" t="s">
        <v>79</v>
      </c>
      <c r="K122" s="194" t="s">
        <v>305</v>
      </c>
      <c r="L122" s="36" t="s">
        <v>306</v>
      </c>
      <c r="M122" s="36" t="s">
        <v>13</v>
      </c>
      <c r="N122" s="36">
        <v>2000</v>
      </c>
      <c r="O122" s="36" t="s">
        <v>53</v>
      </c>
      <c r="P122" s="37" t="s">
        <v>54</v>
      </c>
      <c r="Q122" s="39"/>
    </row>
    <row r="123" spans="1:17" ht="13">
      <c r="A123" s="32"/>
      <c r="B123" s="40" t="s">
        <v>307</v>
      </c>
      <c r="C123" s="36" t="s">
        <v>119</v>
      </c>
      <c r="D123" s="37" t="s">
        <v>46</v>
      </c>
      <c r="E123" s="41">
        <v>160</v>
      </c>
      <c r="F123" s="35" t="s">
        <v>47</v>
      </c>
      <c r="G123" s="35">
        <v>3</v>
      </c>
      <c r="H123" s="146" t="s">
        <v>248</v>
      </c>
      <c r="I123" s="42" t="s">
        <v>289</v>
      </c>
      <c r="J123" s="42" t="s">
        <v>79</v>
      </c>
      <c r="K123" s="194" t="s">
        <v>60</v>
      </c>
      <c r="L123" s="113" t="s">
        <v>61</v>
      </c>
      <c r="M123" s="113" t="s">
        <v>61</v>
      </c>
      <c r="N123" s="113" t="s">
        <v>60</v>
      </c>
      <c r="O123" s="113"/>
      <c r="P123" s="37" t="s">
        <v>54</v>
      </c>
      <c r="Q123" s="39"/>
    </row>
    <row r="124" spans="1:17" ht="13">
      <c r="A124" s="32"/>
      <c r="B124" s="40" t="s">
        <v>308</v>
      </c>
      <c r="C124" s="36" t="s">
        <v>119</v>
      </c>
      <c r="D124" s="37" t="s">
        <v>46</v>
      </c>
      <c r="E124" s="41">
        <v>160</v>
      </c>
      <c r="F124" s="35" t="s">
        <v>47</v>
      </c>
      <c r="G124" s="35">
        <v>3</v>
      </c>
      <c r="H124" s="146" t="s">
        <v>248</v>
      </c>
      <c r="I124" s="42" t="s">
        <v>289</v>
      </c>
      <c r="J124" s="42" t="s">
        <v>79</v>
      </c>
      <c r="K124" s="194" t="s">
        <v>309</v>
      </c>
      <c r="L124" s="36">
        <v>20112290435</v>
      </c>
      <c r="M124" s="36" t="s">
        <v>13</v>
      </c>
      <c r="N124" s="36">
        <v>2000</v>
      </c>
      <c r="O124" s="36" t="s">
        <v>53</v>
      </c>
      <c r="P124" s="37" t="s">
        <v>54</v>
      </c>
      <c r="Q124" s="39"/>
    </row>
    <row r="125" spans="1:17" ht="13">
      <c r="A125" s="32"/>
      <c r="B125" s="40" t="s">
        <v>310</v>
      </c>
      <c r="C125" s="36" t="s">
        <v>119</v>
      </c>
      <c r="D125" s="37" t="s">
        <v>46</v>
      </c>
      <c r="E125" s="41">
        <v>160</v>
      </c>
      <c r="F125" s="35" t="s">
        <v>47</v>
      </c>
      <c r="G125" s="35">
        <v>3</v>
      </c>
      <c r="H125" s="146" t="s">
        <v>248</v>
      </c>
      <c r="I125" s="42" t="s">
        <v>289</v>
      </c>
      <c r="J125" s="42" t="s">
        <v>79</v>
      </c>
      <c r="K125" s="194" t="s">
        <v>60</v>
      </c>
      <c r="L125" s="113" t="s">
        <v>61</v>
      </c>
      <c r="M125" s="113" t="s">
        <v>61</v>
      </c>
      <c r="N125" s="113" t="s">
        <v>60</v>
      </c>
      <c r="O125" s="113"/>
      <c r="P125" s="37" t="s">
        <v>54</v>
      </c>
      <c r="Q125" s="39"/>
    </row>
    <row r="126" spans="1:17" ht="13">
      <c r="A126" s="32"/>
      <c r="B126" s="40" t="s">
        <v>311</v>
      </c>
      <c r="C126" s="36" t="s">
        <v>119</v>
      </c>
      <c r="D126" s="37" t="s">
        <v>46</v>
      </c>
      <c r="E126" s="41">
        <v>160</v>
      </c>
      <c r="F126" s="35" t="s">
        <v>47</v>
      </c>
      <c r="G126" s="35">
        <v>3</v>
      </c>
      <c r="H126" s="146" t="s">
        <v>248</v>
      </c>
      <c r="I126" s="42" t="s">
        <v>289</v>
      </c>
      <c r="J126" s="42" t="s">
        <v>79</v>
      </c>
      <c r="K126" s="194" t="s">
        <v>312</v>
      </c>
      <c r="L126" s="36">
        <v>20112290330</v>
      </c>
      <c r="M126" s="36" t="s">
        <v>13</v>
      </c>
      <c r="N126" s="36">
        <v>2000</v>
      </c>
      <c r="O126" s="36" t="s">
        <v>53</v>
      </c>
      <c r="P126" s="37" t="s">
        <v>54</v>
      </c>
      <c r="Q126" s="39"/>
    </row>
    <row r="127" spans="1:17" ht="13">
      <c r="A127" s="32"/>
      <c r="B127" s="40" t="s">
        <v>313</v>
      </c>
      <c r="C127" s="36" t="s">
        <v>119</v>
      </c>
      <c r="D127" s="37" t="s">
        <v>46</v>
      </c>
      <c r="E127" s="41">
        <v>160</v>
      </c>
      <c r="F127" s="35" t="s">
        <v>47</v>
      </c>
      <c r="G127" s="35">
        <v>3</v>
      </c>
      <c r="H127" s="146" t="s">
        <v>248</v>
      </c>
      <c r="I127" s="42" t="s">
        <v>289</v>
      </c>
      <c r="J127" s="42" t="s">
        <v>79</v>
      </c>
      <c r="K127" s="194" t="s">
        <v>60</v>
      </c>
      <c r="L127" s="113" t="s">
        <v>61</v>
      </c>
      <c r="M127" s="113" t="s">
        <v>61</v>
      </c>
      <c r="N127" s="113" t="s">
        <v>60</v>
      </c>
      <c r="O127" s="113"/>
      <c r="P127" s="37" t="s">
        <v>54</v>
      </c>
      <c r="Q127" s="39"/>
    </row>
    <row r="128" spans="1:17" ht="13">
      <c r="A128" s="32"/>
      <c r="B128" s="40" t="s">
        <v>314</v>
      </c>
      <c r="C128" s="36" t="s">
        <v>119</v>
      </c>
      <c r="D128" s="37" t="s">
        <v>46</v>
      </c>
      <c r="E128" s="41">
        <v>160</v>
      </c>
      <c r="F128" s="35" t="s">
        <v>47</v>
      </c>
      <c r="G128" s="35">
        <v>3</v>
      </c>
      <c r="H128" s="146" t="s">
        <v>248</v>
      </c>
      <c r="I128" s="42" t="s">
        <v>289</v>
      </c>
      <c r="J128" s="42" t="s">
        <v>79</v>
      </c>
      <c r="K128" s="194" t="s">
        <v>315</v>
      </c>
      <c r="L128" s="36">
        <v>20112290337</v>
      </c>
      <c r="M128" s="36" t="s">
        <v>13</v>
      </c>
      <c r="N128" s="36">
        <v>2000</v>
      </c>
      <c r="O128" s="36" t="s">
        <v>53</v>
      </c>
      <c r="P128" s="37" t="s">
        <v>54</v>
      </c>
      <c r="Q128" s="39"/>
    </row>
    <row r="129" spans="1:17" ht="13">
      <c r="A129" s="32"/>
      <c r="B129" s="40" t="s">
        <v>316</v>
      </c>
      <c r="C129" s="36" t="s">
        <v>119</v>
      </c>
      <c r="D129" s="37" t="s">
        <v>46</v>
      </c>
      <c r="E129" s="41">
        <v>160</v>
      </c>
      <c r="F129" s="35" t="s">
        <v>47</v>
      </c>
      <c r="G129" s="35">
        <v>3</v>
      </c>
      <c r="H129" s="146" t="s">
        <v>248</v>
      </c>
      <c r="I129" s="42" t="s">
        <v>289</v>
      </c>
      <c r="J129" s="42" t="s">
        <v>79</v>
      </c>
      <c r="K129" s="194" t="s">
        <v>60</v>
      </c>
      <c r="L129" s="113" t="s">
        <v>61</v>
      </c>
      <c r="M129" s="113" t="s">
        <v>61</v>
      </c>
      <c r="N129" s="113" t="s">
        <v>60</v>
      </c>
      <c r="O129" s="113"/>
      <c r="P129" s="37" t="s">
        <v>54</v>
      </c>
      <c r="Q129" s="39"/>
    </row>
    <row r="130" spans="1:17" ht="13">
      <c r="A130" s="32"/>
      <c r="B130" s="40" t="s">
        <v>317</v>
      </c>
      <c r="C130" s="36" t="s">
        <v>119</v>
      </c>
      <c r="D130" s="37" t="s">
        <v>46</v>
      </c>
      <c r="E130" s="41">
        <v>160</v>
      </c>
      <c r="F130" s="35" t="s">
        <v>47</v>
      </c>
      <c r="G130" s="35">
        <v>3</v>
      </c>
      <c r="H130" s="146" t="s">
        <v>248</v>
      </c>
      <c r="I130" s="42" t="s">
        <v>289</v>
      </c>
      <c r="J130" s="42" t="s">
        <v>79</v>
      </c>
      <c r="K130" s="194" t="s">
        <v>318</v>
      </c>
      <c r="L130" s="36">
        <v>20112290326</v>
      </c>
      <c r="M130" s="36" t="s">
        <v>13</v>
      </c>
      <c r="N130" s="36">
        <v>2000</v>
      </c>
      <c r="O130" s="36" t="s">
        <v>53</v>
      </c>
      <c r="P130" s="37" t="s">
        <v>54</v>
      </c>
      <c r="Q130" s="39"/>
    </row>
    <row r="131" spans="1:17" ht="13">
      <c r="A131" s="32"/>
      <c r="B131" s="40" t="s">
        <v>319</v>
      </c>
      <c r="C131" s="36" t="s">
        <v>119</v>
      </c>
      <c r="D131" s="37" t="s">
        <v>46</v>
      </c>
      <c r="E131" s="41">
        <v>160</v>
      </c>
      <c r="F131" s="35" t="s">
        <v>47</v>
      </c>
      <c r="G131" s="35">
        <v>3</v>
      </c>
      <c r="H131" s="146" t="s">
        <v>248</v>
      </c>
      <c r="I131" s="42" t="s">
        <v>289</v>
      </c>
      <c r="J131" s="42" t="s">
        <v>79</v>
      </c>
      <c r="K131" s="194" t="s">
        <v>60</v>
      </c>
      <c r="L131" s="113" t="s">
        <v>61</v>
      </c>
      <c r="M131" s="113" t="s">
        <v>61</v>
      </c>
      <c r="N131" s="113" t="s">
        <v>60</v>
      </c>
      <c r="O131" s="113"/>
      <c r="P131" s="37" t="s">
        <v>54</v>
      </c>
      <c r="Q131" s="39"/>
    </row>
    <row r="132" spans="1:17" ht="13">
      <c r="A132" s="32"/>
      <c r="B132" s="40" t="s">
        <v>320</v>
      </c>
      <c r="C132" s="36" t="s">
        <v>119</v>
      </c>
      <c r="D132" s="37" t="s">
        <v>46</v>
      </c>
      <c r="E132" s="41">
        <v>160</v>
      </c>
      <c r="F132" s="35" t="s">
        <v>47</v>
      </c>
      <c r="G132" s="35">
        <v>4</v>
      </c>
      <c r="H132" s="146" t="s">
        <v>321</v>
      </c>
      <c r="I132" s="42" t="s">
        <v>322</v>
      </c>
      <c r="J132" s="42" t="s">
        <v>79</v>
      </c>
      <c r="K132" s="194" t="s">
        <v>323</v>
      </c>
      <c r="L132" s="36">
        <v>20112290369</v>
      </c>
      <c r="M132" s="36" t="s">
        <v>13</v>
      </c>
      <c r="N132" s="36">
        <v>2000</v>
      </c>
      <c r="O132" s="36" t="s">
        <v>53</v>
      </c>
      <c r="P132" s="37" t="s">
        <v>54</v>
      </c>
      <c r="Q132" s="39"/>
    </row>
    <row r="133" spans="1:17" ht="13">
      <c r="A133" s="32"/>
      <c r="B133" s="40" t="s">
        <v>324</v>
      </c>
      <c r="C133" s="36" t="s">
        <v>119</v>
      </c>
      <c r="D133" s="37" t="s">
        <v>46</v>
      </c>
      <c r="E133" s="41">
        <v>160</v>
      </c>
      <c r="F133" s="35" t="s">
        <v>47</v>
      </c>
      <c r="G133" s="35">
        <v>4</v>
      </c>
      <c r="H133" s="146" t="s">
        <v>321</v>
      </c>
      <c r="I133" s="42" t="s">
        <v>322</v>
      </c>
      <c r="J133" s="42" t="s">
        <v>79</v>
      </c>
      <c r="K133" s="194" t="s">
        <v>60</v>
      </c>
      <c r="L133" s="113" t="s">
        <v>61</v>
      </c>
      <c r="M133" s="113" t="s">
        <v>61</v>
      </c>
      <c r="N133" s="113" t="s">
        <v>60</v>
      </c>
      <c r="O133" s="113"/>
      <c r="P133" s="37" t="s">
        <v>54</v>
      </c>
      <c r="Q133" s="39"/>
    </row>
    <row r="134" spans="1:17" ht="13">
      <c r="A134" s="32"/>
      <c r="B134" s="40" t="s">
        <v>325</v>
      </c>
      <c r="C134" s="36" t="s">
        <v>119</v>
      </c>
      <c r="D134" s="37" t="s">
        <v>46</v>
      </c>
      <c r="E134" s="41">
        <v>160</v>
      </c>
      <c r="F134" s="35" t="s">
        <v>47</v>
      </c>
      <c r="G134" s="35">
        <v>4</v>
      </c>
      <c r="H134" s="146" t="s">
        <v>321</v>
      </c>
      <c r="I134" s="42" t="s">
        <v>322</v>
      </c>
      <c r="J134" s="42" t="s">
        <v>79</v>
      </c>
      <c r="K134" s="194" t="s">
        <v>326</v>
      </c>
      <c r="L134" s="36">
        <v>20112290375</v>
      </c>
      <c r="M134" s="36" t="s">
        <v>13</v>
      </c>
      <c r="N134" s="36">
        <v>2000</v>
      </c>
      <c r="O134" s="36" t="s">
        <v>53</v>
      </c>
      <c r="P134" s="37" t="s">
        <v>54</v>
      </c>
      <c r="Q134" s="39"/>
    </row>
    <row r="135" spans="1:17" ht="13">
      <c r="A135" s="32"/>
      <c r="B135" s="40" t="s">
        <v>327</v>
      </c>
      <c r="C135" s="36" t="s">
        <v>119</v>
      </c>
      <c r="D135" s="37" t="s">
        <v>46</v>
      </c>
      <c r="E135" s="41">
        <v>160</v>
      </c>
      <c r="F135" s="35" t="s">
        <v>47</v>
      </c>
      <c r="G135" s="35">
        <v>4</v>
      </c>
      <c r="H135" s="146" t="s">
        <v>321</v>
      </c>
      <c r="I135" s="42" t="s">
        <v>322</v>
      </c>
      <c r="J135" s="42" t="s">
        <v>79</v>
      </c>
      <c r="K135" s="194" t="s">
        <v>60</v>
      </c>
      <c r="L135" s="113" t="s">
        <v>61</v>
      </c>
      <c r="M135" s="113" t="s">
        <v>61</v>
      </c>
      <c r="N135" s="113" t="s">
        <v>60</v>
      </c>
      <c r="O135" s="113"/>
      <c r="P135" s="37" t="s">
        <v>54</v>
      </c>
      <c r="Q135" s="39"/>
    </row>
    <row r="136" spans="1:17" ht="13">
      <c r="A136" s="32"/>
      <c r="B136" s="40" t="s">
        <v>328</v>
      </c>
      <c r="C136" s="36" t="s">
        <v>119</v>
      </c>
      <c r="D136" s="37" t="s">
        <v>46</v>
      </c>
      <c r="E136" s="41">
        <v>160</v>
      </c>
      <c r="F136" s="35" t="s">
        <v>47</v>
      </c>
      <c r="G136" s="35">
        <v>4</v>
      </c>
      <c r="H136" s="146" t="s">
        <v>321</v>
      </c>
      <c r="I136" s="42" t="s">
        <v>322</v>
      </c>
      <c r="J136" s="42" t="s">
        <v>79</v>
      </c>
      <c r="K136" s="194" t="s">
        <v>329</v>
      </c>
      <c r="L136" s="36">
        <v>20112290325</v>
      </c>
      <c r="M136" s="36" t="s">
        <v>13</v>
      </c>
      <c r="N136" s="36">
        <v>2000</v>
      </c>
      <c r="O136" s="36" t="s">
        <v>53</v>
      </c>
      <c r="P136" s="37" t="s">
        <v>54</v>
      </c>
      <c r="Q136" s="39"/>
    </row>
    <row r="137" spans="1:17" ht="13">
      <c r="A137" s="32"/>
      <c r="B137" s="40" t="s">
        <v>330</v>
      </c>
      <c r="C137" s="36" t="s">
        <v>119</v>
      </c>
      <c r="D137" s="37" t="s">
        <v>46</v>
      </c>
      <c r="E137" s="41">
        <v>160</v>
      </c>
      <c r="F137" s="35" t="s">
        <v>47</v>
      </c>
      <c r="G137" s="35">
        <v>4</v>
      </c>
      <c r="H137" s="146" t="s">
        <v>321</v>
      </c>
      <c r="I137" s="42" t="s">
        <v>322</v>
      </c>
      <c r="J137" s="42" t="s">
        <v>79</v>
      </c>
      <c r="K137" s="194" t="s">
        <v>60</v>
      </c>
      <c r="L137" s="113" t="s">
        <v>61</v>
      </c>
      <c r="M137" s="113" t="s">
        <v>61</v>
      </c>
      <c r="N137" s="113" t="s">
        <v>60</v>
      </c>
      <c r="O137" s="113"/>
      <c r="P137" s="37" t="s">
        <v>54</v>
      </c>
      <c r="Q137" s="39"/>
    </row>
    <row r="138" spans="1:17" ht="13">
      <c r="A138" s="32"/>
      <c r="B138" s="40" t="s">
        <v>331</v>
      </c>
      <c r="C138" s="36" t="s">
        <v>119</v>
      </c>
      <c r="D138" s="37" t="s">
        <v>46</v>
      </c>
      <c r="E138" s="41">
        <v>160</v>
      </c>
      <c r="F138" s="35" t="s">
        <v>47</v>
      </c>
      <c r="G138" s="35">
        <v>4</v>
      </c>
      <c r="H138" s="146" t="s">
        <v>321</v>
      </c>
      <c r="I138" s="42" t="s">
        <v>322</v>
      </c>
      <c r="J138" s="42" t="s">
        <v>79</v>
      </c>
      <c r="K138" s="194" t="s">
        <v>332</v>
      </c>
      <c r="L138" s="36">
        <v>20112290430</v>
      </c>
      <c r="M138" s="36" t="s">
        <v>13</v>
      </c>
      <c r="N138" s="36">
        <v>2000</v>
      </c>
      <c r="O138" s="36" t="s">
        <v>53</v>
      </c>
      <c r="P138" s="37" t="s">
        <v>54</v>
      </c>
      <c r="Q138" s="39"/>
    </row>
    <row r="139" spans="1:17" ht="13">
      <c r="A139" s="32"/>
      <c r="B139" s="40" t="s">
        <v>333</v>
      </c>
      <c r="C139" s="36" t="s">
        <v>119</v>
      </c>
      <c r="D139" s="37" t="s">
        <v>46</v>
      </c>
      <c r="E139" s="41">
        <v>160</v>
      </c>
      <c r="F139" s="35" t="s">
        <v>47</v>
      </c>
      <c r="G139" s="35">
        <v>4</v>
      </c>
      <c r="H139" s="146" t="s">
        <v>321</v>
      </c>
      <c r="I139" s="42" t="s">
        <v>322</v>
      </c>
      <c r="J139" s="42" t="s">
        <v>79</v>
      </c>
      <c r="K139" s="194" t="s">
        <v>60</v>
      </c>
      <c r="L139" s="113" t="s">
        <v>61</v>
      </c>
      <c r="M139" s="113" t="s">
        <v>61</v>
      </c>
      <c r="N139" s="113" t="s">
        <v>60</v>
      </c>
      <c r="O139" s="113"/>
      <c r="P139" s="37" t="s">
        <v>54</v>
      </c>
      <c r="Q139" s="39"/>
    </row>
    <row r="140" spans="1:17" ht="13">
      <c r="A140" s="32"/>
      <c r="B140" s="40" t="s">
        <v>334</v>
      </c>
      <c r="C140" s="36" t="s">
        <v>119</v>
      </c>
      <c r="D140" s="37" t="s">
        <v>46</v>
      </c>
      <c r="E140" s="41">
        <v>160</v>
      </c>
      <c r="F140" s="35" t="s">
        <v>47</v>
      </c>
      <c r="G140" s="35">
        <v>4</v>
      </c>
      <c r="H140" s="146" t="s">
        <v>321</v>
      </c>
      <c r="I140" s="42" t="s">
        <v>322</v>
      </c>
      <c r="J140" s="42" t="s">
        <v>79</v>
      </c>
      <c r="K140" s="194" t="s">
        <v>335</v>
      </c>
      <c r="L140" s="36">
        <v>20112290372</v>
      </c>
      <c r="M140" s="36" t="s">
        <v>13</v>
      </c>
      <c r="N140" s="36">
        <v>2000</v>
      </c>
      <c r="O140" s="36" t="s">
        <v>53</v>
      </c>
      <c r="P140" s="37" t="s">
        <v>54</v>
      </c>
      <c r="Q140" s="39"/>
    </row>
    <row r="141" spans="1:17" ht="13">
      <c r="A141" s="32"/>
      <c r="B141" s="40" t="s">
        <v>336</v>
      </c>
      <c r="C141" s="36" t="s">
        <v>119</v>
      </c>
      <c r="D141" s="37" t="s">
        <v>46</v>
      </c>
      <c r="E141" s="41">
        <v>160</v>
      </c>
      <c r="F141" s="35" t="s">
        <v>47</v>
      </c>
      <c r="G141" s="35">
        <v>4</v>
      </c>
      <c r="H141" s="146" t="s">
        <v>321</v>
      </c>
      <c r="I141" s="42" t="s">
        <v>322</v>
      </c>
      <c r="J141" s="42" t="s">
        <v>79</v>
      </c>
      <c r="K141" s="194" t="s">
        <v>60</v>
      </c>
      <c r="L141" s="113" t="s">
        <v>61</v>
      </c>
      <c r="M141" s="113" t="s">
        <v>61</v>
      </c>
      <c r="N141" s="113" t="s">
        <v>60</v>
      </c>
      <c r="O141" s="113"/>
      <c r="P141" s="37" t="s">
        <v>54</v>
      </c>
      <c r="Q141" s="39"/>
    </row>
    <row r="142" spans="1:17" ht="13">
      <c r="A142" s="32"/>
      <c r="B142" s="40" t="s">
        <v>337</v>
      </c>
      <c r="C142" s="36" t="s">
        <v>119</v>
      </c>
      <c r="D142" s="37" t="s">
        <v>46</v>
      </c>
      <c r="E142" s="41">
        <v>160</v>
      </c>
      <c r="F142" s="35" t="s">
        <v>47</v>
      </c>
      <c r="G142" s="35">
        <v>4</v>
      </c>
      <c r="H142" s="146" t="s">
        <v>321</v>
      </c>
      <c r="I142" s="42" t="s">
        <v>322</v>
      </c>
      <c r="J142" s="42" t="s">
        <v>79</v>
      </c>
      <c r="K142" s="194" t="s">
        <v>338</v>
      </c>
      <c r="L142" s="36">
        <v>20112290377</v>
      </c>
      <c r="M142" s="36" t="s">
        <v>13</v>
      </c>
      <c r="N142" s="36">
        <v>2000</v>
      </c>
      <c r="O142" s="36" t="s">
        <v>53</v>
      </c>
      <c r="P142" s="37" t="s">
        <v>54</v>
      </c>
      <c r="Q142" s="39"/>
    </row>
    <row r="143" spans="1:17" ht="13">
      <c r="A143" s="32"/>
      <c r="B143" s="40" t="s">
        <v>339</v>
      </c>
      <c r="C143" s="36" t="s">
        <v>119</v>
      </c>
      <c r="D143" s="37" t="s">
        <v>46</v>
      </c>
      <c r="E143" s="41">
        <v>160</v>
      </c>
      <c r="F143" s="35" t="s">
        <v>47</v>
      </c>
      <c r="G143" s="35">
        <v>4</v>
      </c>
      <c r="H143" s="146" t="s">
        <v>321</v>
      </c>
      <c r="I143" s="42" t="s">
        <v>322</v>
      </c>
      <c r="J143" s="42" t="s">
        <v>79</v>
      </c>
      <c r="K143" s="194" t="s">
        <v>60</v>
      </c>
      <c r="L143" s="113" t="s">
        <v>61</v>
      </c>
      <c r="M143" s="113" t="s">
        <v>61</v>
      </c>
      <c r="N143" s="113" t="s">
        <v>60</v>
      </c>
      <c r="O143" s="113"/>
      <c r="P143" s="37" t="s">
        <v>54</v>
      </c>
      <c r="Q143" s="39"/>
    </row>
    <row r="144" spans="1:17" ht="13">
      <c r="A144" s="32"/>
      <c r="B144" s="40" t="s">
        <v>340</v>
      </c>
      <c r="C144" s="36" t="s">
        <v>119</v>
      </c>
      <c r="D144" s="37" t="s">
        <v>46</v>
      </c>
      <c r="E144" s="41">
        <v>160</v>
      </c>
      <c r="F144" s="35" t="s">
        <v>47</v>
      </c>
      <c r="G144" s="35">
        <v>4</v>
      </c>
      <c r="H144" s="146" t="s">
        <v>321</v>
      </c>
      <c r="I144" s="42" t="s">
        <v>322</v>
      </c>
      <c r="J144" s="42" t="s">
        <v>79</v>
      </c>
      <c r="K144" s="194" t="s">
        <v>341</v>
      </c>
      <c r="L144" s="36">
        <v>20112290442</v>
      </c>
      <c r="M144" s="36" t="s">
        <v>13</v>
      </c>
      <c r="N144" s="36">
        <v>2000</v>
      </c>
      <c r="O144" s="36" t="s">
        <v>53</v>
      </c>
      <c r="P144" s="37" t="s">
        <v>54</v>
      </c>
      <c r="Q144" s="39"/>
    </row>
    <row r="145" spans="1:17" ht="13">
      <c r="A145" s="32"/>
      <c r="B145" s="40" t="s">
        <v>342</v>
      </c>
      <c r="C145" s="36" t="s">
        <v>119</v>
      </c>
      <c r="D145" s="37" t="s">
        <v>46</v>
      </c>
      <c r="E145" s="41">
        <v>160</v>
      </c>
      <c r="F145" s="35" t="s">
        <v>47</v>
      </c>
      <c r="G145" s="35">
        <v>4</v>
      </c>
      <c r="H145" s="146" t="s">
        <v>321</v>
      </c>
      <c r="I145" s="42" t="s">
        <v>322</v>
      </c>
      <c r="J145" s="42" t="s">
        <v>79</v>
      </c>
      <c r="K145" s="194" t="s">
        <v>60</v>
      </c>
      <c r="L145" s="113" t="s">
        <v>61</v>
      </c>
      <c r="M145" s="113" t="s">
        <v>61</v>
      </c>
      <c r="N145" s="113" t="s">
        <v>60</v>
      </c>
      <c r="O145" s="113"/>
      <c r="P145" s="37" t="s">
        <v>54</v>
      </c>
      <c r="Q145" s="39"/>
    </row>
    <row r="146" spans="1:17" ht="13">
      <c r="A146" s="32"/>
      <c r="B146" s="40" t="s">
        <v>343</v>
      </c>
      <c r="C146" s="36" t="s">
        <v>119</v>
      </c>
      <c r="D146" s="37" t="s">
        <v>46</v>
      </c>
      <c r="E146" s="41">
        <v>160</v>
      </c>
      <c r="F146" s="35" t="s">
        <v>47</v>
      </c>
      <c r="G146" s="35">
        <v>4</v>
      </c>
      <c r="H146" s="146" t="s">
        <v>321</v>
      </c>
      <c r="I146" s="42" t="s">
        <v>322</v>
      </c>
      <c r="J146" s="42" t="s">
        <v>79</v>
      </c>
      <c r="K146" s="194" t="s">
        <v>344</v>
      </c>
      <c r="L146" s="36">
        <v>20112290333</v>
      </c>
      <c r="M146" s="36" t="s">
        <v>13</v>
      </c>
      <c r="N146" s="36">
        <v>2000</v>
      </c>
      <c r="O146" s="36" t="s">
        <v>53</v>
      </c>
      <c r="P146" s="37" t="s">
        <v>54</v>
      </c>
      <c r="Q146" s="39"/>
    </row>
    <row r="147" spans="1:17" ht="13">
      <c r="A147" s="32"/>
      <c r="B147" s="40" t="s">
        <v>345</v>
      </c>
      <c r="C147" s="36" t="s">
        <v>119</v>
      </c>
      <c r="D147" s="37" t="s">
        <v>46</v>
      </c>
      <c r="E147" s="41">
        <v>160</v>
      </c>
      <c r="F147" s="35" t="s">
        <v>47</v>
      </c>
      <c r="G147" s="35">
        <v>4</v>
      </c>
      <c r="H147" s="146" t="s">
        <v>321</v>
      </c>
      <c r="I147" s="42" t="s">
        <v>322</v>
      </c>
      <c r="J147" s="42" t="s">
        <v>79</v>
      </c>
      <c r="K147" s="194" t="s">
        <v>60</v>
      </c>
      <c r="L147" s="113" t="s">
        <v>61</v>
      </c>
      <c r="M147" s="113" t="s">
        <v>61</v>
      </c>
      <c r="N147" s="113" t="s">
        <v>60</v>
      </c>
      <c r="O147" s="113"/>
      <c r="P147" s="37" t="s">
        <v>54</v>
      </c>
      <c r="Q147" s="39"/>
    </row>
    <row r="148" spans="1:17" ht="13">
      <c r="A148" s="32"/>
      <c r="B148" s="40" t="s">
        <v>346</v>
      </c>
      <c r="C148" s="36" t="s">
        <v>119</v>
      </c>
      <c r="D148" s="37" t="s">
        <v>46</v>
      </c>
      <c r="E148" s="41">
        <v>160</v>
      </c>
      <c r="F148" s="35" t="s">
        <v>47</v>
      </c>
      <c r="G148" s="35">
        <v>4</v>
      </c>
      <c r="H148" s="146" t="s">
        <v>321</v>
      </c>
      <c r="I148" s="42" t="s">
        <v>322</v>
      </c>
      <c r="J148" s="42" t="s">
        <v>79</v>
      </c>
      <c r="K148" s="194" t="s">
        <v>347</v>
      </c>
      <c r="L148" s="36">
        <v>20112290438</v>
      </c>
      <c r="M148" s="36" t="s">
        <v>13</v>
      </c>
      <c r="N148" s="36">
        <v>2000</v>
      </c>
      <c r="O148" s="36" t="s">
        <v>53</v>
      </c>
      <c r="P148" s="37" t="s">
        <v>54</v>
      </c>
      <c r="Q148" s="39"/>
    </row>
    <row r="149" spans="1:17" ht="13">
      <c r="A149" s="32"/>
      <c r="B149" s="40" t="s">
        <v>348</v>
      </c>
      <c r="C149" s="36" t="s">
        <v>119</v>
      </c>
      <c r="D149" s="37" t="s">
        <v>46</v>
      </c>
      <c r="E149" s="41">
        <v>160</v>
      </c>
      <c r="F149" s="35" t="s">
        <v>47</v>
      </c>
      <c r="G149" s="35">
        <v>4</v>
      </c>
      <c r="H149" s="146" t="s">
        <v>321</v>
      </c>
      <c r="I149" s="42" t="s">
        <v>322</v>
      </c>
      <c r="J149" s="42" t="s">
        <v>79</v>
      </c>
      <c r="K149" s="194" t="s">
        <v>60</v>
      </c>
      <c r="L149" s="113" t="s">
        <v>61</v>
      </c>
      <c r="M149" s="113" t="s">
        <v>61</v>
      </c>
      <c r="N149" s="113" t="s">
        <v>60</v>
      </c>
      <c r="O149" s="113"/>
      <c r="P149" s="37" t="s">
        <v>54</v>
      </c>
      <c r="Q149" s="39"/>
    </row>
    <row r="150" spans="1:17" ht="13">
      <c r="A150" s="32"/>
      <c r="B150" s="40" t="s">
        <v>349</v>
      </c>
      <c r="C150" s="36" t="s">
        <v>119</v>
      </c>
      <c r="D150" s="37" t="s">
        <v>46</v>
      </c>
      <c r="E150" s="41">
        <v>160</v>
      </c>
      <c r="F150" s="35" t="s">
        <v>47</v>
      </c>
      <c r="G150" s="35">
        <v>4</v>
      </c>
      <c r="H150" s="146" t="s">
        <v>321</v>
      </c>
      <c r="I150" s="42" t="s">
        <v>322</v>
      </c>
      <c r="J150" s="42" t="s">
        <v>79</v>
      </c>
      <c r="K150" s="194" t="s">
        <v>350</v>
      </c>
      <c r="L150" s="36">
        <v>20112290366</v>
      </c>
      <c r="M150" s="36" t="s">
        <v>13</v>
      </c>
      <c r="N150" s="36">
        <v>2000</v>
      </c>
      <c r="O150" s="36" t="s">
        <v>53</v>
      </c>
      <c r="P150" s="37" t="s">
        <v>54</v>
      </c>
      <c r="Q150" s="39"/>
    </row>
    <row r="151" spans="1:17" ht="13">
      <c r="A151" s="32"/>
      <c r="B151" s="40" t="s">
        <v>351</v>
      </c>
      <c r="C151" s="36" t="s">
        <v>119</v>
      </c>
      <c r="D151" s="37" t="s">
        <v>46</v>
      </c>
      <c r="E151" s="41">
        <v>160</v>
      </c>
      <c r="F151" s="35" t="s">
        <v>47</v>
      </c>
      <c r="G151" s="35">
        <v>4</v>
      </c>
      <c r="H151" s="146" t="s">
        <v>321</v>
      </c>
      <c r="I151" s="42" t="s">
        <v>322</v>
      </c>
      <c r="J151" s="42" t="s">
        <v>79</v>
      </c>
      <c r="K151" s="194" t="s">
        <v>60</v>
      </c>
      <c r="L151" s="113" t="s">
        <v>61</v>
      </c>
      <c r="M151" s="113" t="s">
        <v>61</v>
      </c>
      <c r="N151" s="113" t="s">
        <v>60</v>
      </c>
      <c r="O151" s="113"/>
      <c r="P151" s="37" t="s">
        <v>54</v>
      </c>
      <c r="Q151" s="39"/>
    </row>
    <row r="152" spans="1:17" ht="13">
      <c r="A152" s="32"/>
      <c r="B152" s="40" t="s">
        <v>352</v>
      </c>
      <c r="C152" s="36" t="s">
        <v>119</v>
      </c>
      <c r="D152" s="37" t="s">
        <v>46</v>
      </c>
      <c r="E152" s="41">
        <v>160</v>
      </c>
      <c r="F152" s="35" t="s">
        <v>47</v>
      </c>
      <c r="G152" s="35">
        <v>4</v>
      </c>
      <c r="H152" s="146" t="s">
        <v>321</v>
      </c>
      <c r="I152" s="42" t="s">
        <v>353</v>
      </c>
      <c r="J152" s="42" t="s">
        <v>79</v>
      </c>
      <c r="K152" s="194" t="s">
        <v>354</v>
      </c>
      <c r="L152" s="36">
        <v>20112290352</v>
      </c>
      <c r="M152" s="36" t="s">
        <v>13</v>
      </c>
      <c r="N152" s="36">
        <v>2000</v>
      </c>
      <c r="O152" s="36" t="s">
        <v>53</v>
      </c>
      <c r="P152" s="37" t="s">
        <v>54</v>
      </c>
      <c r="Q152" s="39"/>
    </row>
    <row r="153" spans="1:17" ht="13">
      <c r="A153" s="32"/>
      <c r="B153" s="40" t="s">
        <v>355</v>
      </c>
      <c r="C153" s="36" t="s">
        <v>119</v>
      </c>
      <c r="D153" s="37" t="s">
        <v>46</v>
      </c>
      <c r="E153" s="41">
        <v>160</v>
      </c>
      <c r="F153" s="35" t="s">
        <v>47</v>
      </c>
      <c r="G153" s="35">
        <v>4</v>
      </c>
      <c r="H153" s="146" t="s">
        <v>321</v>
      </c>
      <c r="I153" s="42" t="s">
        <v>353</v>
      </c>
      <c r="J153" s="42" t="s">
        <v>79</v>
      </c>
      <c r="K153" s="194" t="s">
        <v>60</v>
      </c>
      <c r="L153" s="113" t="s">
        <v>61</v>
      </c>
      <c r="M153" s="113" t="s">
        <v>61</v>
      </c>
      <c r="N153" s="113" t="s">
        <v>60</v>
      </c>
      <c r="O153" s="113"/>
      <c r="P153" s="37" t="s">
        <v>54</v>
      </c>
      <c r="Q153" s="39"/>
    </row>
    <row r="154" spans="1:17" ht="13">
      <c r="A154" s="32"/>
      <c r="B154" s="40" t="s">
        <v>356</v>
      </c>
      <c r="C154" s="36" t="s">
        <v>119</v>
      </c>
      <c r="D154" s="37" t="s">
        <v>46</v>
      </c>
      <c r="E154" s="41">
        <v>160</v>
      </c>
      <c r="F154" s="35" t="s">
        <v>47</v>
      </c>
      <c r="G154" s="35">
        <v>4</v>
      </c>
      <c r="H154" s="146" t="s">
        <v>321</v>
      </c>
      <c r="I154" s="42" t="s">
        <v>353</v>
      </c>
      <c r="J154" s="42" t="s">
        <v>79</v>
      </c>
      <c r="K154" s="194" t="s">
        <v>357</v>
      </c>
      <c r="L154" s="36">
        <v>20112290332</v>
      </c>
      <c r="M154" s="36" t="s">
        <v>13</v>
      </c>
      <c r="N154" s="36">
        <v>2000</v>
      </c>
      <c r="O154" s="36" t="s">
        <v>53</v>
      </c>
      <c r="P154" s="37" t="s">
        <v>54</v>
      </c>
      <c r="Q154" s="39"/>
    </row>
    <row r="155" spans="1:17" ht="13">
      <c r="A155" s="32"/>
      <c r="B155" s="40" t="s">
        <v>358</v>
      </c>
      <c r="C155" s="36" t="s">
        <v>119</v>
      </c>
      <c r="D155" s="37" t="s">
        <v>46</v>
      </c>
      <c r="E155" s="41">
        <v>160</v>
      </c>
      <c r="F155" s="35" t="s">
        <v>47</v>
      </c>
      <c r="G155" s="35">
        <v>4</v>
      </c>
      <c r="H155" s="146" t="s">
        <v>321</v>
      </c>
      <c r="I155" s="42" t="s">
        <v>353</v>
      </c>
      <c r="J155" s="42" t="s">
        <v>79</v>
      </c>
      <c r="K155" s="194" t="s">
        <v>60</v>
      </c>
      <c r="L155" s="113" t="s">
        <v>61</v>
      </c>
      <c r="M155" s="113" t="s">
        <v>61</v>
      </c>
      <c r="N155" s="113" t="s">
        <v>60</v>
      </c>
      <c r="O155" s="113"/>
      <c r="P155" s="37" t="s">
        <v>54</v>
      </c>
      <c r="Q155" s="39"/>
    </row>
    <row r="156" spans="1:17" ht="13">
      <c r="A156" s="32"/>
      <c r="B156" s="40" t="s">
        <v>359</v>
      </c>
      <c r="C156" s="36" t="s">
        <v>119</v>
      </c>
      <c r="D156" s="37" t="s">
        <v>46</v>
      </c>
      <c r="E156" s="41">
        <v>160</v>
      </c>
      <c r="F156" s="35" t="s">
        <v>47</v>
      </c>
      <c r="G156" s="35">
        <v>4</v>
      </c>
      <c r="H156" s="146" t="s">
        <v>321</v>
      </c>
      <c r="I156" s="42" t="s">
        <v>353</v>
      </c>
      <c r="J156" s="42" t="s">
        <v>79</v>
      </c>
      <c r="K156" s="194" t="s">
        <v>360</v>
      </c>
      <c r="L156" s="36">
        <v>20112290351</v>
      </c>
      <c r="M156" s="36" t="s">
        <v>13</v>
      </c>
      <c r="N156" s="36">
        <v>2000</v>
      </c>
      <c r="O156" s="36" t="s">
        <v>53</v>
      </c>
      <c r="P156" s="37" t="s">
        <v>54</v>
      </c>
      <c r="Q156" s="39"/>
    </row>
    <row r="157" spans="1:17" ht="13">
      <c r="A157" s="32"/>
      <c r="B157" s="40" t="s">
        <v>361</v>
      </c>
      <c r="C157" s="36" t="s">
        <v>119</v>
      </c>
      <c r="D157" s="37" t="s">
        <v>46</v>
      </c>
      <c r="E157" s="41">
        <v>160</v>
      </c>
      <c r="F157" s="35" t="s">
        <v>47</v>
      </c>
      <c r="G157" s="35">
        <v>4</v>
      </c>
      <c r="H157" s="146" t="s">
        <v>321</v>
      </c>
      <c r="I157" s="42" t="s">
        <v>353</v>
      </c>
      <c r="J157" s="42" t="s">
        <v>79</v>
      </c>
      <c r="K157" s="194" t="s">
        <v>60</v>
      </c>
      <c r="L157" s="113" t="s">
        <v>61</v>
      </c>
      <c r="M157" s="113" t="s">
        <v>61</v>
      </c>
      <c r="N157" s="113" t="s">
        <v>60</v>
      </c>
      <c r="O157" s="113"/>
      <c r="P157" s="37" t="s">
        <v>54</v>
      </c>
      <c r="Q157" s="39"/>
    </row>
    <row r="158" spans="1:17" ht="13">
      <c r="A158" s="32"/>
      <c r="B158" s="40" t="s">
        <v>362</v>
      </c>
      <c r="C158" s="36" t="s">
        <v>119</v>
      </c>
      <c r="D158" s="37" t="s">
        <v>46</v>
      </c>
      <c r="E158" s="41">
        <v>160</v>
      </c>
      <c r="F158" s="35" t="s">
        <v>47</v>
      </c>
      <c r="G158" s="35">
        <v>4</v>
      </c>
      <c r="H158" s="146" t="s">
        <v>321</v>
      </c>
      <c r="I158" s="42" t="s">
        <v>353</v>
      </c>
      <c r="J158" s="42" t="s">
        <v>79</v>
      </c>
      <c r="K158" s="194" t="s">
        <v>363</v>
      </c>
      <c r="L158" s="36">
        <v>20112290358</v>
      </c>
      <c r="M158" s="36" t="s">
        <v>13</v>
      </c>
      <c r="N158" s="36">
        <v>2000</v>
      </c>
      <c r="O158" s="36" t="s">
        <v>53</v>
      </c>
      <c r="P158" s="37" t="s">
        <v>54</v>
      </c>
      <c r="Q158" s="39"/>
    </row>
    <row r="159" spans="1:17" ht="13">
      <c r="A159" s="32"/>
      <c r="B159" s="40" t="s">
        <v>364</v>
      </c>
      <c r="C159" s="36" t="s">
        <v>119</v>
      </c>
      <c r="D159" s="37" t="s">
        <v>46</v>
      </c>
      <c r="E159" s="41">
        <v>160</v>
      </c>
      <c r="F159" s="35" t="s">
        <v>47</v>
      </c>
      <c r="G159" s="35">
        <v>4</v>
      </c>
      <c r="H159" s="146" t="s">
        <v>321</v>
      </c>
      <c r="I159" s="42" t="s">
        <v>353</v>
      </c>
      <c r="J159" s="42" t="s">
        <v>79</v>
      </c>
      <c r="K159" s="194" t="s">
        <v>60</v>
      </c>
      <c r="L159" s="113" t="s">
        <v>61</v>
      </c>
      <c r="M159" s="113" t="s">
        <v>61</v>
      </c>
      <c r="N159" s="113" t="s">
        <v>60</v>
      </c>
      <c r="O159" s="113"/>
      <c r="P159" s="37" t="s">
        <v>54</v>
      </c>
      <c r="Q159" s="39"/>
    </row>
    <row r="160" spans="1:17" ht="13">
      <c r="A160" s="32"/>
      <c r="B160" s="40" t="s">
        <v>365</v>
      </c>
      <c r="C160" s="36" t="s">
        <v>119</v>
      </c>
      <c r="D160" s="37" t="s">
        <v>46</v>
      </c>
      <c r="E160" s="41">
        <v>160</v>
      </c>
      <c r="F160" s="35" t="s">
        <v>47</v>
      </c>
      <c r="G160" s="35">
        <v>4</v>
      </c>
      <c r="H160" s="146" t="s">
        <v>321</v>
      </c>
      <c r="I160" s="42" t="s">
        <v>353</v>
      </c>
      <c r="J160" s="42" t="s">
        <v>79</v>
      </c>
      <c r="K160" s="194" t="s">
        <v>366</v>
      </c>
      <c r="L160" s="36">
        <v>20112290380</v>
      </c>
      <c r="M160" s="36" t="s">
        <v>13</v>
      </c>
      <c r="N160" s="36">
        <v>2000</v>
      </c>
      <c r="O160" s="36" t="s">
        <v>53</v>
      </c>
      <c r="P160" s="37" t="s">
        <v>54</v>
      </c>
      <c r="Q160" s="39"/>
    </row>
    <row r="161" spans="1:17" ht="13">
      <c r="A161" s="32"/>
      <c r="B161" s="40" t="s">
        <v>367</v>
      </c>
      <c r="C161" s="36" t="s">
        <v>119</v>
      </c>
      <c r="D161" s="37" t="s">
        <v>46</v>
      </c>
      <c r="E161" s="41">
        <v>160</v>
      </c>
      <c r="F161" s="35" t="s">
        <v>47</v>
      </c>
      <c r="G161" s="35">
        <v>4</v>
      </c>
      <c r="H161" s="146" t="s">
        <v>321</v>
      </c>
      <c r="I161" s="42" t="s">
        <v>353</v>
      </c>
      <c r="J161" s="42" t="s">
        <v>79</v>
      </c>
      <c r="K161" s="194" t="s">
        <v>60</v>
      </c>
      <c r="L161" s="113" t="s">
        <v>61</v>
      </c>
      <c r="M161" s="113" t="s">
        <v>61</v>
      </c>
      <c r="N161" s="113" t="s">
        <v>60</v>
      </c>
      <c r="O161" s="113"/>
      <c r="P161" s="37" t="s">
        <v>54</v>
      </c>
      <c r="Q161" s="39"/>
    </row>
    <row r="162" spans="1:17" ht="13">
      <c r="A162" s="32"/>
      <c r="B162" s="40" t="s">
        <v>368</v>
      </c>
      <c r="C162" s="36" t="s">
        <v>119</v>
      </c>
      <c r="D162" s="37" t="s">
        <v>46</v>
      </c>
      <c r="E162" s="41">
        <v>160</v>
      </c>
      <c r="F162" s="35" t="s">
        <v>47</v>
      </c>
      <c r="G162" s="35">
        <v>4</v>
      </c>
      <c r="H162" s="146" t="s">
        <v>321</v>
      </c>
      <c r="I162" s="42" t="s">
        <v>353</v>
      </c>
      <c r="J162" s="42" t="s">
        <v>79</v>
      </c>
      <c r="K162" s="194" t="s">
        <v>369</v>
      </c>
      <c r="L162" s="36">
        <v>20112290327</v>
      </c>
      <c r="M162" s="36" t="s">
        <v>13</v>
      </c>
      <c r="N162" s="36">
        <v>2000</v>
      </c>
      <c r="O162" s="36" t="s">
        <v>53</v>
      </c>
      <c r="P162" s="37" t="s">
        <v>54</v>
      </c>
      <c r="Q162" s="39"/>
    </row>
    <row r="163" spans="1:17" ht="13">
      <c r="A163" s="32"/>
      <c r="B163" s="40" t="s">
        <v>370</v>
      </c>
      <c r="C163" s="36" t="s">
        <v>119</v>
      </c>
      <c r="D163" s="37" t="s">
        <v>46</v>
      </c>
      <c r="E163" s="41">
        <v>160</v>
      </c>
      <c r="F163" s="35" t="s">
        <v>47</v>
      </c>
      <c r="G163" s="35">
        <v>4</v>
      </c>
      <c r="H163" s="146" t="s">
        <v>321</v>
      </c>
      <c r="I163" s="42" t="s">
        <v>353</v>
      </c>
      <c r="J163" s="42" t="s">
        <v>79</v>
      </c>
      <c r="K163" s="194" t="s">
        <v>60</v>
      </c>
      <c r="L163" s="113" t="s">
        <v>61</v>
      </c>
      <c r="M163" s="113" t="s">
        <v>61</v>
      </c>
      <c r="N163" s="113" t="s">
        <v>60</v>
      </c>
      <c r="O163" s="113"/>
      <c r="P163" s="37" t="s">
        <v>54</v>
      </c>
      <c r="Q163" s="39"/>
    </row>
    <row r="164" spans="1:17" ht="13">
      <c r="A164" s="32"/>
      <c r="B164" s="40" t="s">
        <v>371</v>
      </c>
      <c r="C164" s="36" t="s">
        <v>119</v>
      </c>
      <c r="D164" s="37" t="s">
        <v>46</v>
      </c>
      <c r="E164" s="41">
        <v>160</v>
      </c>
      <c r="F164" s="35" t="s">
        <v>47</v>
      </c>
      <c r="G164" s="35">
        <v>4</v>
      </c>
      <c r="H164" s="146" t="s">
        <v>321</v>
      </c>
      <c r="I164" s="42" t="s">
        <v>353</v>
      </c>
      <c r="J164" s="42" t="s">
        <v>79</v>
      </c>
      <c r="K164" s="194" t="s">
        <v>372</v>
      </c>
      <c r="L164" s="36">
        <v>20112290388</v>
      </c>
      <c r="M164" s="36" t="s">
        <v>13</v>
      </c>
      <c r="N164" s="36">
        <v>2000</v>
      </c>
      <c r="O164" s="36" t="s">
        <v>53</v>
      </c>
      <c r="P164" s="37" t="s">
        <v>54</v>
      </c>
      <c r="Q164" s="39"/>
    </row>
    <row r="165" spans="1:17" ht="13">
      <c r="A165" s="32"/>
      <c r="B165" s="40" t="s">
        <v>373</v>
      </c>
      <c r="C165" s="36" t="s">
        <v>119</v>
      </c>
      <c r="D165" s="37" t="s">
        <v>46</v>
      </c>
      <c r="E165" s="41">
        <v>160</v>
      </c>
      <c r="F165" s="35" t="s">
        <v>47</v>
      </c>
      <c r="G165" s="35">
        <v>4</v>
      </c>
      <c r="H165" s="146" t="s">
        <v>321</v>
      </c>
      <c r="I165" s="42" t="s">
        <v>353</v>
      </c>
      <c r="J165" s="42" t="s">
        <v>79</v>
      </c>
      <c r="K165" s="194" t="s">
        <v>60</v>
      </c>
      <c r="L165" s="113" t="s">
        <v>61</v>
      </c>
      <c r="M165" s="113" t="s">
        <v>61</v>
      </c>
      <c r="N165" s="113" t="s">
        <v>60</v>
      </c>
      <c r="O165" s="113"/>
      <c r="P165" s="37" t="s">
        <v>54</v>
      </c>
      <c r="Q165" s="39"/>
    </row>
    <row r="166" spans="1:17" ht="13">
      <c r="A166" s="32"/>
      <c r="B166" s="40" t="s">
        <v>374</v>
      </c>
      <c r="C166" s="36" t="s">
        <v>119</v>
      </c>
      <c r="D166" s="37" t="s">
        <v>46</v>
      </c>
      <c r="E166" s="41">
        <v>160</v>
      </c>
      <c r="F166" s="35" t="s">
        <v>47</v>
      </c>
      <c r="G166" s="35">
        <v>4</v>
      </c>
      <c r="H166" s="146" t="s">
        <v>321</v>
      </c>
      <c r="I166" s="42" t="s">
        <v>353</v>
      </c>
      <c r="J166" s="42" t="s">
        <v>79</v>
      </c>
      <c r="K166" s="194" t="s">
        <v>375</v>
      </c>
      <c r="L166" s="36" t="s">
        <v>376</v>
      </c>
      <c r="M166" s="36" t="s">
        <v>13</v>
      </c>
      <c r="N166" s="36">
        <v>2000</v>
      </c>
      <c r="O166" s="36" t="s">
        <v>53</v>
      </c>
      <c r="P166" s="37" t="s">
        <v>54</v>
      </c>
      <c r="Q166" s="39"/>
    </row>
    <row r="167" spans="1:17" ht="13">
      <c r="A167" s="32"/>
      <c r="B167" s="40" t="s">
        <v>377</v>
      </c>
      <c r="C167" s="36" t="s">
        <v>119</v>
      </c>
      <c r="D167" s="37" t="s">
        <v>46</v>
      </c>
      <c r="E167" s="41">
        <v>160</v>
      </c>
      <c r="F167" s="35" t="s">
        <v>47</v>
      </c>
      <c r="G167" s="35">
        <v>4</v>
      </c>
      <c r="H167" s="146" t="s">
        <v>321</v>
      </c>
      <c r="I167" s="42" t="s">
        <v>353</v>
      </c>
      <c r="J167" s="42" t="s">
        <v>79</v>
      </c>
      <c r="K167" s="194" t="s">
        <v>60</v>
      </c>
      <c r="L167" s="113" t="s">
        <v>61</v>
      </c>
      <c r="M167" s="113" t="s">
        <v>61</v>
      </c>
      <c r="N167" s="113" t="s">
        <v>60</v>
      </c>
      <c r="O167" s="113"/>
      <c r="P167" s="37" t="s">
        <v>54</v>
      </c>
      <c r="Q167" s="39"/>
    </row>
    <row r="168" spans="1:17" ht="13">
      <c r="A168" s="32"/>
      <c r="B168" s="40" t="s">
        <v>378</v>
      </c>
      <c r="C168" s="36" t="s">
        <v>119</v>
      </c>
      <c r="D168" s="37" t="s">
        <v>46</v>
      </c>
      <c r="E168" s="41">
        <v>160</v>
      </c>
      <c r="F168" s="35" t="s">
        <v>47</v>
      </c>
      <c r="G168" s="35">
        <v>4</v>
      </c>
      <c r="H168" s="146" t="s">
        <v>321</v>
      </c>
      <c r="I168" s="42" t="s">
        <v>353</v>
      </c>
      <c r="J168" s="42" t="s">
        <v>79</v>
      </c>
      <c r="K168" s="194" t="s">
        <v>379</v>
      </c>
      <c r="L168" s="36">
        <v>20112290408</v>
      </c>
      <c r="M168" s="36" t="s">
        <v>13</v>
      </c>
      <c r="N168" s="36">
        <v>2000</v>
      </c>
      <c r="O168" s="36" t="s">
        <v>53</v>
      </c>
      <c r="P168" s="37" t="s">
        <v>54</v>
      </c>
      <c r="Q168" s="39"/>
    </row>
    <row r="169" spans="1:17" ht="13">
      <c r="A169" s="32"/>
      <c r="B169" s="40" t="s">
        <v>380</v>
      </c>
      <c r="C169" s="36" t="s">
        <v>119</v>
      </c>
      <c r="D169" s="37" t="s">
        <v>46</v>
      </c>
      <c r="E169" s="41">
        <v>160</v>
      </c>
      <c r="F169" s="35" t="s">
        <v>47</v>
      </c>
      <c r="G169" s="35">
        <v>4</v>
      </c>
      <c r="H169" s="146" t="s">
        <v>321</v>
      </c>
      <c r="I169" s="42" t="s">
        <v>353</v>
      </c>
      <c r="J169" s="42" t="s">
        <v>79</v>
      </c>
      <c r="K169" s="194" t="s">
        <v>60</v>
      </c>
      <c r="L169" s="113" t="s">
        <v>61</v>
      </c>
      <c r="M169" s="113" t="s">
        <v>61</v>
      </c>
      <c r="N169" s="113" t="s">
        <v>60</v>
      </c>
      <c r="O169" s="113"/>
      <c r="P169" s="37" t="s">
        <v>54</v>
      </c>
      <c r="Q169" s="39"/>
    </row>
    <row r="170" spans="1:17" ht="13">
      <c r="A170" s="32"/>
      <c r="B170" s="40" t="s">
        <v>381</v>
      </c>
      <c r="C170" s="36" t="s">
        <v>119</v>
      </c>
      <c r="D170" s="37" t="s">
        <v>46</v>
      </c>
      <c r="E170" s="41">
        <v>160</v>
      </c>
      <c r="F170" s="35" t="s">
        <v>47</v>
      </c>
      <c r="G170" s="35">
        <v>4</v>
      </c>
      <c r="H170" s="146" t="s">
        <v>321</v>
      </c>
      <c r="I170" s="42" t="s">
        <v>353</v>
      </c>
      <c r="J170" s="42" t="s">
        <v>79</v>
      </c>
      <c r="K170" s="194" t="s">
        <v>382</v>
      </c>
      <c r="L170" s="36" t="s">
        <v>383</v>
      </c>
      <c r="M170" s="36" t="s">
        <v>13</v>
      </c>
      <c r="N170" s="36">
        <v>2000</v>
      </c>
      <c r="O170" s="36" t="s">
        <v>53</v>
      </c>
      <c r="P170" s="37" t="s">
        <v>54</v>
      </c>
      <c r="Q170" s="39"/>
    </row>
    <row r="171" spans="1:17" ht="13">
      <c r="A171" s="32"/>
      <c r="B171" s="40" t="s">
        <v>384</v>
      </c>
      <c r="C171" s="36" t="s">
        <v>119</v>
      </c>
      <c r="D171" s="37" t="s">
        <v>46</v>
      </c>
      <c r="E171" s="41">
        <v>160</v>
      </c>
      <c r="F171" s="35" t="s">
        <v>47</v>
      </c>
      <c r="G171" s="35">
        <v>4</v>
      </c>
      <c r="H171" s="146" t="s">
        <v>321</v>
      </c>
      <c r="I171" s="42" t="s">
        <v>353</v>
      </c>
      <c r="J171" s="42" t="s">
        <v>79</v>
      </c>
      <c r="K171" s="194" t="s">
        <v>60</v>
      </c>
      <c r="L171" s="113" t="s">
        <v>61</v>
      </c>
      <c r="M171" s="113" t="s">
        <v>61</v>
      </c>
      <c r="N171" s="113" t="s">
        <v>60</v>
      </c>
      <c r="O171" s="113"/>
      <c r="P171" s="37" t="s">
        <v>54</v>
      </c>
      <c r="Q171" s="39"/>
    </row>
    <row r="172" spans="1:17" ht="13">
      <c r="A172" s="32"/>
      <c r="B172" s="40" t="s">
        <v>385</v>
      </c>
      <c r="C172" s="36" t="s">
        <v>119</v>
      </c>
      <c r="D172" s="37" t="s">
        <v>46</v>
      </c>
      <c r="E172" s="41">
        <v>160</v>
      </c>
      <c r="F172" s="35" t="s">
        <v>47</v>
      </c>
      <c r="G172" s="35">
        <v>5</v>
      </c>
      <c r="H172" s="146" t="s">
        <v>386</v>
      </c>
      <c r="I172" s="42" t="s">
        <v>387</v>
      </c>
      <c r="J172" s="42" t="s">
        <v>79</v>
      </c>
      <c r="K172" s="194" t="s">
        <v>388</v>
      </c>
      <c r="L172" s="36" t="s">
        <v>389</v>
      </c>
      <c r="M172" s="36" t="s">
        <v>13</v>
      </c>
      <c r="N172" s="36">
        <v>2000</v>
      </c>
      <c r="O172" s="36" t="s">
        <v>53</v>
      </c>
      <c r="P172" s="37" t="s">
        <v>54</v>
      </c>
      <c r="Q172" s="39"/>
    </row>
    <row r="173" spans="1:17" ht="13">
      <c r="A173" s="32"/>
      <c r="B173" s="40" t="s">
        <v>390</v>
      </c>
      <c r="C173" s="36" t="s">
        <v>119</v>
      </c>
      <c r="D173" s="37" t="s">
        <v>46</v>
      </c>
      <c r="E173" s="41">
        <v>160</v>
      </c>
      <c r="F173" s="35" t="s">
        <v>47</v>
      </c>
      <c r="G173" s="35">
        <v>5</v>
      </c>
      <c r="H173" s="146" t="s">
        <v>386</v>
      </c>
      <c r="I173" s="42" t="s">
        <v>387</v>
      </c>
      <c r="J173" s="42" t="s">
        <v>79</v>
      </c>
      <c r="K173" s="194" t="s">
        <v>60</v>
      </c>
      <c r="L173" s="113" t="s">
        <v>61</v>
      </c>
      <c r="M173" s="113" t="s">
        <v>61</v>
      </c>
      <c r="N173" s="113" t="s">
        <v>60</v>
      </c>
      <c r="O173" s="113"/>
      <c r="P173" s="37" t="s">
        <v>54</v>
      </c>
      <c r="Q173" s="39"/>
    </row>
    <row r="174" spans="1:17" ht="13">
      <c r="A174" s="32"/>
      <c r="B174" s="40" t="s">
        <v>391</v>
      </c>
      <c r="C174" s="36" t="s">
        <v>119</v>
      </c>
      <c r="D174" s="37" t="s">
        <v>46</v>
      </c>
      <c r="E174" s="41">
        <v>160</v>
      </c>
      <c r="F174" s="35" t="s">
        <v>47</v>
      </c>
      <c r="G174" s="35">
        <v>5</v>
      </c>
      <c r="H174" s="146" t="s">
        <v>386</v>
      </c>
      <c r="I174" s="42" t="s">
        <v>387</v>
      </c>
      <c r="J174" s="42" t="s">
        <v>79</v>
      </c>
      <c r="K174" s="194" t="s">
        <v>392</v>
      </c>
      <c r="L174" s="36" t="s">
        <v>393</v>
      </c>
      <c r="M174" s="36" t="s">
        <v>97</v>
      </c>
      <c r="N174" s="36">
        <v>2600</v>
      </c>
      <c r="O174" s="36" t="s">
        <v>82</v>
      </c>
      <c r="P174" s="37" t="s">
        <v>54</v>
      </c>
      <c r="Q174" s="39"/>
    </row>
    <row r="175" spans="1:17" ht="13">
      <c r="A175" s="32"/>
      <c r="B175" s="40" t="s">
        <v>394</v>
      </c>
      <c r="C175" s="36" t="s">
        <v>119</v>
      </c>
      <c r="D175" s="37" t="s">
        <v>46</v>
      </c>
      <c r="E175" s="41">
        <v>160</v>
      </c>
      <c r="F175" s="35" t="s">
        <v>47</v>
      </c>
      <c r="G175" s="35">
        <v>5</v>
      </c>
      <c r="H175" s="146" t="s">
        <v>386</v>
      </c>
      <c r="I175" s="42" t="s">
        <v>387</v>
      </c>
      <c r="J175" s="42" t="s">
        <v>79</v>
      </c>
      <c r="K175" s="194" t="s">
        <v>60</v>
      </c>
      <c r="L175" s="113" t="s">
        <v>61</v>
      </c>
      <c r="M175" s="113" t="s">
        <v>61</v>
      </c>
      <c r="N175" s="113" t="s">
        <v>60</v>
      </c>
      <c r="O175" s="113"/>
      <c r="P175" s="37" t="s">
        <v>54</v>
      </c>
      <c r="Q175" s="39"/>
    </row>
    <row r="176" spans="1:17" ht="13">
      <c r="A176" s="32"/>
      <c r="B176" s="40" t="s">
        <v>395</v>
      </c>
      <c r="C176" s="36" t="s">
        <v>119</v>
      </c>
      <c r="D176" s="37" t="s">
        <v>46</v>
      </c>
      <c r="E176" s="41">
        <v>160</v>
      </c>
      <c r="F176" s="35" t="s">
        <v>47</v>
      </c>
      <c r="G176" s="35">
        <v>5</v>
      </c>
      <c r="H176" s="146" t="s">
        <v>386</v>
      </c>
      <c r="I176" s="42" t="s">
        <v>387</v>
      </c>
      <c r="J176" s="42" t="s">
        <v>79</v>
      </c>
      <c r="K176" s="194" t="s">
        <v>396</v>
      </c>
      <c r="L176" s="36" t="s">
        <v>397</v>
      </c>
      <c r="M176" s="36" t="s">
        <v>13</v>
      </c>
      <c r="N176" s="36">
        <v>2000</v>
      </c>
      <c r="O176" s="36" t="s">
        <v>53</v>
      </c>
      <c r="P176" s="37" t="s">
        <v>54</v>
      </c>
      <c r="Q176" s="39"/>
    </row>
    <row r="177" spans="1:17" ht="13">
      <c r="A177" s="32"/>
      <c r="B177" s="40" t="s">
        <v>398</v>
      </c>
      <c r="C177" s="36" t="s">
        <v>119</v>
      </c>
      <c r="D177" s="37" t="s">
        <v>46</v>
      </c>
      <c r="E177" s="41">
        <v>160</v>
      </c>
      <c r="F177" s="35" t="s">
        <v>47</v>
      </c>
      <c r="G177" s="35">
        <v>5</v>
      </c>
      <c r="H177" s="146" t="s">
        <v>386</v>
      </c>
      <c r="I177" s="42" t="s">
        <v>387</v>
      </c>
      <c r="J177" s="42" t="s">
        <v>79</v>
      </c>
      <c r="K177" s="194" t="s">
        <v>60</v>
      </c>
      <c r="L177" s="113" t="s">
        <v>61</v>
      </c>
      <c r="M177" s="113" t="s">
        <v>61</v>
      </c>
      <c r="N177" s="113" t="s">
        <v>60</v>
      </c>
      <c r="O177" s="113"/>
      <c r="P177" s="37" t="s">
        <v>54</v>
      </c>
      <c r="Q177" s="39"/>
    </row>
    <row r="178" spans="1:17" ht="13">
      <c r="A178" s="32"/>
      <c r="B178" s="40" t="s">
        <v>399</v>
      </c>
      <c r="C178" s="36" t="s">
        <v>119</v>
      </c>
      <c r="D178" s="37" t="s">
        <v>46</v>
      </c>
      <c r="E178" s="41">
        <v>160</v>
      </c>
      <c r="F178" s="35" t="s">
        <v>47</v>
      </c>
      <c r="G178" s="35">
        <v>5</v>
      </c>
      <c r="H178" s="146" t="s">
        <v>386</v>
      </c>
      <c r="I178" s="42" t="s">
        <v>387</v>
      </c>
      <c r="J178" s="42" t="s">
        <v>79</v>
      </c>
      <c r="K178" s="194" t="s">
        <v>400</v>
      </c>
      <c r="L178" s="36" t="s">
        <v>401</v>
      </c>
      <c r="M178" s="36" t="s">
        <v>13</v>
      </c>
      <c r="N178" s="36">
        <v>2000</v>
      </c>
      <c r="O178" s="36" t="s">
        <v>53</v>
      </c>
      <c r="P178" s="37" t="s">
        <v>54</v>
      </c>
      <c r="Q178" s="39"/>
    </row>
    <row r="179" spans="1:17" ht="13">
      <c r="A179" s="32"/>
      <c r="B179" s="40" t="s">
        <v>402</v>
      </c>
      <c r="C179" s="36" t="s">
        <v>119</v>
      </c>
      <c r="D179" s="37" t="s">
        <v>46</v>
      </c>
      <c r="E179" s="41">
        <v>160</v>
      </c>
      <c r="F179" s="35" t="s">
        <v>47</v>
      </c>
      <c r="G179" s="35">
        <v>5</v>
      </c>
      <c r="H179" s="146" t="s">
        <v>386</v>
      </c>
      <c r="I179" s="42" t="s">
        <v>387</v>
      </c>
      <c r="J179" s="42" t="s">
        <v>79</v>
      </c>
      <c r="K179" s="194" t="s">
        <v>60</v>
      </c>
      <c r="L179" s="113" t="s">
        <v>61</v>
      </c>
      <c r="M179" s="113" t="s">
        <v>61</v>
      </c>
      <c r="N179" s="113" t="s">
        <v>60</v>
      </c>
      <c r="O179" s="113"/>
      <c r="P179" s="37" t="s">
        <v>54</v>
      </c>
      <c r="Q179" s="39"/>
    </row>
    <row r="180" spans="1:17" ht="13">
      <c r="A180" s="32"/>
      <c r="B180" s="40" t="s">
        <v>403</v>
      </c>
      <c r="C180" s="36" t="s">
        <v>119</v>
      </c>
      <c r="D180" s="37" t="s">
        <v>46</v>
      </c>
      <c r="E180" s="41">
        <v>160</v>
      </c>
      <c r="F180" s="35" t="s">
        <v>47</v>
      </c>
      <c r="G180" s="35">
        <v>5</v>
      </c>
      <c r="H180" s="146" t="s">
        <v>386</v>
      </c>
      <c r="I180" s="42" t="s">
        <v>387</v>
      </c>
      <c r="J180" s="42" t="s">
        <v>79</v>
      </c>
      <c r="K180" s="194" t="s">
        <v>404</v>
      </c>
      <c r="L180" s="36" t="s">
        <v>405</v>
      </c>
      <c r="M180" s="36" t="s">
        <v>97</v>
      </c>
      <c r="N180" s="36">
        <v>2600</v>
      </c>
      <c r="O180" s="36" t="s">
        <v>82</v>
      </c>
      <c r="P180" s="37" t="s">
        <v>54</v>
      </c>
      <c r="Q180" s="39"/>
    </row>
    <row r="181" spans="1:17" ht="13">
      <c r="A181" s="32"/>
      <c r="B181" s="40" t="s">
        <v>406</v>
      </c>
      <c r="C181" s="36" t="s">
        <v>119</v>
      </c>
      <c r="D181" s="37" t="s">
        <v>46</v>
      </c>
      <c r="E181" s="41">
        <v>160</v>
      </c>
      <c r="F181" s="35" t="s">
        <v>47</v>
      </c>
      <c r="G181" s="35">
        <v>5</v>
      </c>
      <c r="H181" s="146" t="s">
        <v>386</v>
      </c>
      <c r="I181" s="42" t="s">
        <v>387</v>
      </c>
      <c r="J181" s="42" t="s">
        <v>79</v>
      </c>
      <c r="K181" s="194" t="s">
        <v>60</v>
      </c>
      <c r="L181" s="113" t="s">
        <v>61</v>
      </c>
      <c r="M181" s="113" t="s">
        <v>61</v>
      </c>
      <c r="N181" s="113" t="s">
        <v>60</v>
      </c>
      <c r="O181" s="113"/>
      <c r="P181" s="37" t="s">
        <v>54</v>
      </c>
      <c r="Q181" s="39"/>
    </row>
    <row r="182" spans="1:17" ht="13">
      <c r="A182" s="32"/>
      <c r="B182" s="40" t="s">
        <v>407</v>
      </c>
      <c r="C182" s="36" t="s">
        <v>119</v>
      </c>
      <c r="D182" s="37" t="s">
        <v>46</v>
      </c>
      <c r="E182" s="41">
        <v>160</v>
      </c>
      <c r="F182" s="35" t="s">
        <v>47</v>
      </c>
      <c r="G182" s="35">
        <v>5</v>
      </c>
      <c r="H182" s="146" t="s">
        <v>386</v>
      </c>
      <c r="I182" s="42" t="s">
        <v>387</v>
      </c>
      <c r="J182" s="42" t="s">
        <v>79</v>
      </c>
      <c r="K182" s="194" t="s">
        <v>408</v>
      </c>
      <c r="L182" s="36" t="s">
        <v>409</v>
      </c>
      <c r="M182" s="36" t="s">
        <v>97</v>
      </c>
      <c r="N182" s="36">
        <v>2600</v>
      </c>
      <c r="O182" s="36" t="s">
        <v>82</v>
      </c>
      <c r="P182" s="37" t="s">
        <v>54</v>
      </c>
      <c r="Q182" s="39"/>
    </row>
    <row r="183" spans="1:17" ht="13">
      <c r="A183" s="32"/>
      <c r="B183" s="40" t="s">
        <v>410</v>
      </c>
      <c r="C183" s="36" t="s">
        <v>119</v>
      </c>
      <c r="D183" s="37" t="s">
        <v>46</v>
      </c>
      <c r="E183" s="41">
        <v>160</v>
      </c>
      <c r="F183" s="35" t="s">
        <v>47</v>
      </c>
      <c r="G183" s="35">
        <v>5</v>
      </c>
      <c r="H183" s="146" t="s">
        <v>386</v>
      </c>
      <c r="I183" s="42" t="s">
        <v>387</v>
      </c>
      <c r="J183" s="42" t="s">
        <v>79</v>
      </c>
      <c r="K183" s="194" t="s">
        <v>60</v>
      </c>
      <c r="L183" s="113" t="s">
        <v>61</v>
      </c>
      <c r="M183" s="113" t="s">
        <v>61</v>
      </c>
      <c r="N183" s="113" t="s">
        <v>60</v>
      </c>
      <c r="O183" s="113"/>
      <c r="P183" s="37" t="s">
        <v>54</v>
      </c>
      <c r="Q183" s="39"/>
    </row>
    <row r="184" spans="1:17" ht="13">
      <c r="A184" s="32"/>
      <c r="B184" s="40" t="s">
        <v>411</v>
      </c>
      <c r="C184" s="36" t="s">
        <v>119</v>
      </c>
      <c r="D184" s="37" t="s">
        <v>46</v>
      </c>
      <c r="E184" s="41">
        <v>160</v>
      </c>
      <c r="F184" s="35" t="s">
        <v>47</v>
      </c>
      <c r="G184" s="35">
        <v>5</v>
      </c>
      <c r="H184" s="146" t="s">
        <v>386</v>
      </c>
      <c r="I184" s="42" t="s">
        <v>387</v>
      </c>
      <c r="J184" s="42" t="s">
        <v>79</v>
      </c>
      <c r="K184" s="194" t="s">
        <v>412</v>
      </c>
      <c r="L184" s="36" t="s">
        <v>413</v>
      </c>
      <c r="M184" s="36" t="s">
        <v>97</v>
      </c>
      <c r="N184" s="36">
        <v>2600</v>
      </c>
      <c r="O184" s="36" t="s">
        <v>82</v>
      </c>
      <c r="P184" s="37" t="s">
        <v>54</v>
      </c>
      <c r="Q184" s="39"/>
    </row>
    <row r="185" spans="1:17" ht="13">
      <c r="A185" s="32"/>
      <c r="B185" s="40" t="s">
        <v>414</v>
      </c>
      <c r="C185" s="36" t="s">
        <v>119</v>
      </c>
      <c r="D185" s="37" t="s">
        <v>46</v>
      </c>
      <c r="E185" s="41">
        <v>160</v>
      </c>
      <c r="F185" s="35" t="s">
        <v>47</v>
      </c>
      <c r="G185" s="35">
        <v>5</v>
      </c>
      <c r="H185" s="146" t="s">
        <v>386</v>
      </c>
      <c r="I185" s="42" t="s">
        <v>387</v>
      </c>
      <c r="J185" s="42" t="s">
        <v>79</v>
      </c>
      <c r="K185" s="194" t="s">
        <v>60</v>
      </c>
      <c r="L185" s="113" t="s">
        <v>61</v>
      </c>
      <c r="M185" s="113" t="s">
        <v>61</v>
      </c>
      <c r="N185" s="113" t="s">
        <v>60</v>
      </c>
      <c r="O185" s="113"/>
      <c r="P185" s="37" t="s">
        <v>54</v>
      </c>
      <c r="Q185" s="39"/>
    </row>
    <row r="186" spans="1:17" ht="13">
      <c r="A186" s="32"/>
      <c r="B186" s="40" t="s">
        <v>415</v>
      </c>
      <c r="C186" s="36" t="s">
        <v>119</v>
      </c>
      <c r="D186" s="37" t="s">
        <v>46</v>
      </c>
      <c r="E186" s="41">
        <v>160</v>
      </c>
      <c r="F186" s="35" t="s">
        <v>47</v>
      </c>
      <c r="G186" s="35">
        <v>5</v>
      </c>
      <c r="H186" s="146" t="s">
        <v>386</v>
      </c>
      <c r="I186" s="42" t="s">
        <v>387</v>
      </c>
      <c r="J186" s="42" t="s">
        <v>79</v>
      </c>
      <c r="K186" s="194" t="s">
        <v>416</v>
      </c>
      <c r="L186" s="36" t="s">
        <v>417</v>
      </c>
      <c r="M186" s="36" t="s">
        <v>97</v>
      </c>
      <c r="N186" s="36">
        <v>2600</v>
      </c>
      <c r="O186" s="36" t="s">
        <v>82</v>
      </c>
      <c r="P186" s="37" t="s">
        <v>54</v>
      </c>
      <c r="Q186" s="39"/>
    </row>
    <row r="187" spans="1:17" ht="13">
      <c r="A187" s="32"/>
      <c r="B187" s="40" t="s">
        <v>418</v>
      </c>
      <c r="C187" s="36" t="s">
        <v>119</v>
      </c>
      <c r="D187" s="37" t="s">
        <v>46</v>
      </c>
      <c r="E187" s="41">
        <v>160</v>
      </c>
      <c r="F187" s="35" t="s">
        <v>47</v>
      </c>
      <c r="G187" s="35">
        <v>5</v>
      </c>
      <c r="H187" s="146" t="s">
        <v>386</v>
      </c>
      <c r="I187" s="42" t="s">
        <v>387</v>
      </c>
      <c r="J187" s="42" t="s">
        <v>79</v>
      </c>
      <c r="K187" s="194" t="s">
        <v>60</v>
      </c>
      <c r="L187" s="113" t="s">
        <v>61</v>
      </c>
      <c r="M187" s="113" t="s">
        <v>61</v>
      </c>
      <c r="N187" s="113" t="s">
        <v>60</v>
      </c>
      <c r="O187" s="113"/>
      <c r="P187" s="37" t="s">
        <v>54</v>
      </c>
      <c r="Q187" s="39"/>
    </row>
    <row r="188" spans="1:17" ht="13">
      <c r="A188" s="32"/>
      <c r="B188" s="40" t="s">
        <v>419</v>
      </c>
      <c r="C188" s="36" t="s">
        <v>119</v>
      </c>
      <c r="D188" s="37" t="s">
        <v>46</v>
      </c>
      <c r="E188" s="41">
        <v>160</v>
      </c>
      <c r="F188" s="35" t="s">
        <v>47</v>
      </c>
      <c r="G188" s="35">
        <v>5</v>
      </c>
      <c r="H188" s="146" t="s">
        <v>386</v>
      </c>
      <c r="I188" s="42" t="s">
        <v>387</v>
      </c>
      <c r="J188" s="42" t="s">
        <v>79</v>
      </c>
      <c r="K188" s="194" t="s">
        <v>420</v>
      </c>
      <c r="L188" s="36" t="s">
        <v>421</v>
      </c>
      <c r="M188" s="36" t="s">
        <v>13</v>
      </c>
      <c r="N188" s="36">
        <v>2000</v>
      </c>
      <c r="O188" s="36" t="s">
        <v>53</v>
      </c>
      <c r="P188" s="37" t="s">
        <v>54</v>
      </c>
      <c r="Q188" s="39"/>
    </row>
    <row r="189" spans="1:17" ht="13">
      <c r="A189" s="32"/>
      <c r="B189" s="40" t="s">
        <v>422</v>
      </c>
      <c r="C189" s="36" t="s">
        <v>119</v>
      </c>
      <c r="D189" s="37" t="s">
        <v>46</v>
      </c>
      <c r="E189" s="41">
        <v>160</v>
      </c>
      <c r="F189" s="35" t="s">
        <v>47</v>
      </c>
      <c r="G189" s="35">
        <v>5</v>
      </c>
      <c r="H189" s="146" t="s">
        <v>386</v>
      </c>
      <c r="I189" s="42" t="s">
        <v>387</v>
      </c>
      <c r="J189" s="42" t="s">
        <v>79</v>
      </c>
      <c r="K189" s="194" t="s">
        <v>60</v>
      </c>
      <c r="L189" s="113" t="s">
        <v>61</v>
      </c>
      <c r="M189" s="113" t="s">
        <v>61</v>
      </c>
      <c r="N189" s="113" t="s">
        <v>60</v>
      </c>
      <c r="O189" s="113"/>
      <c r="P189" s="37" t="s">
        <v>54</v>
      </c>
      <c r="Q189" s="39"/>
    </row>
    <row r="190" spans="1:17" ht="13">
      <c r="A190" s="32"/>
      <c r="B190" s="40" t="s">
        <v>423</v>
      </c>
      <c r="C190" s="135" t="s">
        <v>424</v>
      </c>
      <c r="D190" s="37" t="s">
        <v>74</v>
      </c>
      <c r="E190" s="41"/>
      <c r="F190" s="148" t="s">
        <v>424</v>
      </c>
      <c r="G190" s="35">
        <v>5</v>
      </c>
      <c r="H190" s="146" t="s">
        <v>386</v>
      </c>
      <c r="I190" s="42" t="s">
        <v>387</v>
      </c>
      <c r="J190" s="42" t="s">
        <v>79</v>
      </c>
      <c r="K190" s="194" t="s">
        <v>425</v>
      </c>
      <c r="L190" s="36"/>
      <c r="M190" s="36"/>
      <c r="N190" s="36"/>
      <c r="O190" s="36"/>
      <c r="P190" s="37" t="s">
        <v>54</v>
      </c>
      <c r="Q190" s="39" t="s">
        <v>426</v>
      </c>
    </row>
    <row r="191" spans="1:17" ht="13">
      <c r="A191" s="32"/>
      <c r="B191" s="40" t="s">
        <v>427</v>
      </c>
      <c r="C191" s="135" t="s">
        <v>424</v>
      </c>
      <c r="D191" s="37" t="s">
        <v>74</v>
      </c>
      <c r="E191" s="41"/>
      <c r="F191" s="148" t="s">
        <v>424</v>
      </c>
      <c r="G191" s="35">
        <v>5</v>
      </c>
      <c r="H191" s="146" t="s">
        <v>386</v>
      </c>
      <c r="I191" s="42" t="s">
        <v>387</v>
      </c>
      <c r="J191" s="42" t="s">
        <v>79</v>
      </c>
      <c r="K191" s="194" t="s">
        <v>60</v>
      </c>
      <c r="L191" s="113" t="s">
        <v>61</v>
      </c>
      <c r="M191" s="113" t="s">
        <v>61</v>
      </c>
      <c r="N191" s="113" t="s">
        <v>60</v>
      </c>
      <c r="O191" s="113"/>
      <c r="P191" s="37" t="s">
        <v>54</v>
      </c>
      <c r="Q191" s="39" t="s">
        <v>426</v>
      </c>
    </row>
    <row r="192" spans="1:17" ht="13">
      <c r="A192" s="32"/>
      <c r="B192" s="40" t="s">
        <v>428</v>
      </c>
      <c r="C192" s="35" t="s">
        <v>429</v>
      </c>
      <c r="D192" s="37" t="s">
        <v>46</v>
      </c>
      <c r="E192" s="41">
        <f>IF(F192="MicroBT", 486, 560)</f>
        <v>486</v>
      </c>
      <c r="F192" s="35" t="s">
        <v>59</v>
      </c>
      <c r="G192" s="42"/>
      <c r="H192" s="146" t="s">
        <v>430</v>
      </c>
      <c r="I192" s="42" t="s">
        <v>431</v>
      </c>
      <c r="J192" s="42" t="s">
        <v>432</v>
      </c>
      <c r="K192" s="194" t="s">
        <v>433</v>
      </c>
      <c r="L192" s="36" t="s">
        <v>434</v>
      </c>
      <c r="M192" s="36" t="s">
        <v>13</v>
      </c>
      <c r="N192" s="36">
        <v>2000</v>
      </c>
      <c r="O192" s="36" t="s">
        <v>53</v>
      </c>
      <c r="P192" s="37" t="s">
        <v>435</v>
      </c>
      <c r="Q192" s="39"/>
    </row>
    <row r="193" spans="1:17" ht="13">
      <c r="A193" s="32"/>
      <c r="B193" s="40" t="s">
        <v>436</v>
      </c>
      <c r="C193" s="36" t="s">
        <v>119</v>
      </c>
      <c r="D193" s="37" t="s">
        <v>46</v>
      </c>
      <c r="E193" s="41">
        <v>160</v>
      </c>
      <c r="F193" s="35" t="s">
        <v>47</v>
      </c>
      <c r="G193" s="35">
        <v>5</v>
      </c>
      <c r="H193" s="146" t="s">
        <v>386</v>
      </c>
      <c r="I193" s="42" t="s">
        <v>437</v>
      </c>
      <c r="J193" s="42" t="s">
        <v>79</v>
      </c>
      <c r="K193" s="194" t="s">
        <v>438</v>
      </c>
      <c r="L193" s="36" t="s">
        <v>439</v>
      </c>
      <c r="M193" s="36" t="s">
        <v>97</v>
      </c>
      <c r="N193" s="36">
        <v>2600</v>
      </c>
      <c r="O193" s="36" t="s">
        <v>82</v>
      </c>
      <c r="P193" s="37" t="s">
        <v>54</v>
      </c>
      <c r="Q193" s="39"/>
    </row>
    <row r="194" spans="1:17" ht="13">
      <c r="A194" s="32"/>
      <c r="B194" s="40" t="s">
        <v>440</v>
      </c>
      <c r="C194" s="36" t="s">
        <v>119</v>
      </c>
      <c r="D194" s="37" t="s">
        <v>46</v>
      </c>
      <c r="E194" s="41">
        <v>160</v>
      </c>
      <c r="F194" s="35" t="s">
        <v>47</v>
      </c>
      <c r="G194" s="35">
        <v>5</v>
      </c>
      <c r="H194" s="146" t="s">
        <v>386</v>
      </c>
      <c r="I194" s="42" t="s">
        <v>437</v>
      </c>
      <c r="J194" s="42" t="s">
        <v>79</v>
      </c>
      <c r="K194" s="194" t="s">
        <v>60</v>
      </c>
      <c r="L194" s="113" t="s">
        <v>61</v>
      </c>
      <c r="M194" s="113" t="s">
        <v>61</v>
      </c>
      <c r="N194" s="113" t="s">
        <v>60</v>
      </c>
      <c r="O194" s="113"/>
      <c r="P194" s="37" t="s">
        <v>54</v>
      </c>
      <c r="Q194" s="39"/>
    </row>
    <row r="195" spans="1:17" ht="13">
      <c r="A195" s="32"/>
      <c r="B195" s="40" t="s">
        <v>441</v>
      </c>
      <c r="C195" s="36" t="s">
        <v>119</v>
      </c>
      <c r="D195" s="37" t="s">
        <v>46</v>
      </c>
      <c r="E195" s="41">
        <v>160</v>
      </c>
      <c r="F195" s="35" t="s">
        <v>47</v>
      </c>
      <c r="G195" s="35">
        <v>5</v>
      </c>
      <c r="H195" s="146" t="s">
        <v>386</v>
      </c>
      <c r="I195" s="42" t="s">
        <v>437</v>
      </c>
      <c r="J195" s="42" t="s">
        <v>79</v>
      </c>
      <c r="K195" s="194" t="s">
        <v>442</v>
      </c>
      <c r="L195" s="36" t="s">
        <v>443</v>
      </c>
      <c r="M195" s="36" t="s">
        <v>97</v>
      </c>
      <c r="N195" s="36">
        <v>2550</v>
      </c>
      <c r="O195" s="36" t="s">
        <v>82</v>
      </c>
      <c r="P195" s="37" t="s">
        <v>54</v>
      </c>
      <c r="Q195" s="39"/>
    </row>
    <row r="196" spans="1:17" ht="13">
      <c r="A196" s="32"/>
      <c r="B196" s="40" t="s">
        <v>444</v>
      </c>
      <c r="C196" s="36" t="s">
        <v>119</v>
      </c>
      <c r="D196" s="37" t="s">
        <v>46</v>
      </c>
      <c r="E196" s="41">
        <v>160</v>
      </c>
      <c r="F196" s="35" t="s">
        <v>47</v>
      </c>
      <c r="G196" s="35">
        <v>5</v>
      </c>
      <c r="H196" s="146" t="s">
        <v>386</v>
      </c>
      <c r="I196" s="42" t="s">
        <v>437</v>
      </c>
      <c r="J196" s="42" t="s">
        <v>79</v>
      </c>
      <c r="K196" s="194" t="s">
        <v>60</v>
      </c>
      <c r="L196" s="113" t="s">
        <v>61</v>
      </c>
      <c r="M196" s="113" t="s">
        <v>61</v>
      </c>
      <c r="N196" s="113" t="s">
        <v>60</v>
      </c>
      <c r="O196" s="113"/>
      <c r="P196" s="37" t="s">
        <v>54</v>
      </c>
      <c r="Q196" s="39"/>
    </row>
    <row r="197" spans="1:17" ht="13">
      <c r="A197" s="32"/>
      <c r="B197" s="40" t="s">
        <v>445</v>
      </c>
      <c r="C197" s="36" t="s">
        <v>119</v>
      </c>
      <c r="D197" s="37" t="s">
        <v>46</v>
      </c>
      <c r="E197" s="41">
        <v>160</v>
      </c>
      <c r="F197" s="35" t="s">
        <v>47</v>
      </c>
      <c r="G197" s="35">
        <v>5</v>
      </c>
      <c r="H197" s="146" t="s">
        <v>386</v>
      </c>
      <c r="I197" s="42" t="s">
        <v>437</v>
      </c>
      <c r="J197" s="42" t="s">
        <v>79</v>
      </c>
      <c r="K197" s="194" t="s">
        <v>446</v>
      </c>
      <c r="L197" s="36" t="s">
        <v>447</v>
      </c>
      <c r="M197" s="36" t="s">
        <v>13</v>
      </c>
      <c r="N197" s="36">
        <v>2000</v>
      </c>
      <c r="O197" s="36" t="s">
        <v>53</v>
      </c>
      <c r="P197" s="37" t="s">
        <v>54</v>
      </c>
      <c r="Q197" s="39"/>
    </row>
    <row r="198" spans="1:17" ht="13">
      <c r="A198" s="32"/>
      <c r="B198" s="40" t="s">
        <v>448</v>
      </c>
      <c r="C198" s="36" t="s">
        <v>119</v>
      </c>
      <c r="D198" s="37" t="s">
        <v>46</v>
      </c>
      <c r="E198" s="41">
        <v>160</v>
      </c>
      <c r="F198" s="35" t="s">
        <v>47</v>
      </c>
      <c r="G198" s="35">
        <v>5</v>
      </c>
      <c r="H198" s="146" t="s">
        <v>386</v>
      </c>
      <c r="I198" s="42" t="s">
        <v>437</v>
      </c>
      <c r="J198" s="42" t="s">
        <v>79</v>
      </c>
      <c r="K198" s="194" t="s">
        <v>60</v>
      </c>
      <c r="L198" s="113" t="s">
        <v>61</v>
      </c>
      <c r="M198" s="113" t="s">
        <v>61</v>
      </c>
      <c r="N198" s="113" t="s">
        <v>60</v>
      </c>
      <c r="O198" s="113"/>
      <c r="P198" s="37" t="s">
        <v>54</v>
      </c>
      <c r="Q198" s="39"/>
    </row>
    <row r="199" spans="1:17" ht="13">
      <c r="A199" s="32"/>
      <c r="B199" s="40" t="s">
        <v>449</v>
      </c>
      <c r="C199" s="36" t="s">
        <v>119</v>
      </c>
      <c r="D199" s="37" t="s">
        <v>46</v>
      </c>
      <c r="E199" s="41">
        <v>160</v>
      </c>
      <c r="F199" s="35" t="s">
        <v>47</v>
      </c>
      <c r="G199" s="35">
        <v>5</v>
      </c>
      <c r="H199" s="146" t="s">
        <v>386</v>
      </c>
      <c r="I199" s="42" t="s">
        <v>437</v>
      </c>
      <c r="J199" s="42" t="s">
        <v>79</v>
      </c>
      <c r="K199" s="194" t="s">
        <v>450</v>
      </c>
      <c r="L199" s="36" t="s">
        <v>451</v>
      </c>
      <c r="M199" s="36" t="s">
        <v>13</v>
      </c>
      <c r="N199" s="36">
        <v>2000</v>
      </c>
      <c r="O199" s="36" t="s">
        <v>53</v>
      </c>
      <c r="P199" s="37" t="s">
        <v>54</v>
      </c>
      <c r="Q199" s="39"/>
    </row>
    <row r="200" spans="1:17" ht="13">
      <c r="A200" s="32"/>
      <c r="B200" s="40" t="s">
        <v>452</v>
      </c>
      <c r="C200" s="36" t="s">
        <v>119</v>
      </c>
      <c r="D200" s="37" t="s">
        <v>46</v>
      </c>
      <c r="E200" s="41">
        <v>160</v>
      </c>
      <c r="F200" s="35" t="s">
        <v>47</v>
      </c>
      <c r="G200" s="35">
        <v>5</v>
      </c>
      <c r="H200" s="146" t="s">
        <v>386</v>
      </c>
      <c r="I200" s="42" t="s">
        <v>437</v>
      </c>
      <c r="J200" s="42" t="s">
        <v>79</v>
      </c>
      <c r="K200" s="194" t="s">
        <v>60</v>
      </c>
      <c r="L200" s="113" t="s">
        <v>61</v>
      </c>
      <c r="M200" s="113" t="s">
        <v>61</v>
      </c>
      <c r="N200" s="113" t="s">
        <v>60</v>
      </c>
      <c r="O200" s="113"/>
      <c r="P200" s="37" t="s">
        <v>54</v>
      </c>
      <c r="Q200" s="39"/>
    </row>
    <row r="201" spans="1:17" ht="13">
      <c r="A201" s="32"/>
      <c r="B201" s="40" t="s">
        <v>453</v>
      </c>
      <c r="C201" s="36" t="s">
        <v>119</v>
      </c>
      <c r="D201" s="37" t="s">
        <v>46</v>
      </c>
      <c r="E201" s="41">
        <v>160</v>
      </c>
      <c r="F201" s="35" t="s">
        <v>47</v>
      </c>
      <c r="G201" s="35">
        <v>5</v>
      </c>
      <c r="H201" s="146" t="s">
        <v>386</v>
      </c>
      <c r="I201" s="42" t="s">
        <v>437</v>
      </c>
      <c r="J201" s="42" t="s">
        <v>79</v>
      </c>
      <c r="K201" s="194" t="s">
        <v>454</v>
      </c>
      <c r="L201" s="36" t="s">
        <v>455</v>
      </c>
      <c r="M201" s="36" t="s">
        <v>13</v>
      </c>
      <c r="N201" s="36">
        <v>2000</v>
      </c>
      <c r="O201" s="36" t="s">
        <v>53</v>
      </c>
      <c r="P201" s="37" t="s">
        <v>54</v>
      </c>
      <c r="Q201" s="39"/>
    </row>
    <row r="202" spans="1:17" ht="13">
      <c r="A202" s="32"/>
      <c r="B202" s="40" t="s">
        <v>456</v>
      </c>
      <c r="C202" s="36" t="s">
        <v>119</v>
      </c>
      <c r="D202" s="37" t="s">
        <v>46</v>
      </c>
      <c r="E202" s="41">
        <v>160</v>
      </c>
      <c r="F202" s="35" t="s">
        <v>47</v>
      </c>
      <c r="G202" s="35">
        <v>5</v>
      </c>
      <c r="H202" s="146" t="s">
        <v>386</v>
      </c>
      <c r="I202" s="42" t="s">
        <v>437</v>
      </c>
      <c r="J202" s="42" t="s">
        <v>79</v>
      </c>
      <c r="K202" s="194" t="s">
        <v>60</v>
      </c>
      <c r="L202" s="113" t="s">
        <v>61</v>
      </c>
      <c r="M202" s="113" t="s">
        <v>61</v>
      </c>
      <c r="N202" s="113" t="s">
        <v>60</v>
      </c>
      <c r="O202" s="113"/>
      <c r="P202" s="37" t="s">
        <v>54</v>
      </c>
      <c r="Q202" s="39"/>
    </row>
    <row r="203" spans="1:17" ht="13">
      <c r="A203" s="32"/>
      <c r="B203" s="40" t="s">
        <v>457</v>
      </c>
      <c r="C203" s="36" t="s">
        <v>119</v>
      </c>
      <c r="D203" s="37" t="s">
        <v>46</v>
      </c>
      <c r="E203" s="41">
        <v>160</v>
      </c>
      <c r="F203" s="35" t="s">
        <v>47</v>
      </c>
      <c r="G203" s="35">
        <v>5</v>
      </c>
      <c r="H203" s="146" t="s">
        <v>386</v>
      </c>
      <c r="I203" s="42" t="s">
        <v>437</v>
      </c>
      <c r="J203" s="42" t="s">
        <v>79</v>
      </c>
      <c r="K203" s="194" t="s">
        <v>458</v>
      </c>
      <c r="L203" s="36" t="s">
        <v>459</v>
      </c>
      <c r="M203" s="36" t="s">
        <v>13</v>
      </c>
      <c r="N203" s="36">
        <v>2000</v>
      </c>
      <c r="O203" s="36" t="s">
        <v>53</v>
      </c>
      <c r="P203" s="37" t="s">
        <v>54</v>
      </c>
      <c r="Q203" s="39"/>
    </row>
    <row r="204" spans="1:17" ht="13">
      <c r="A204" s="32"/>
      <c r="B204" s="40" t="s">
        <v>460</v>
      </c>
      <c r="C204" s="36" t="s">
        <v>119</v>
      </c>
      <c r="D204" s="37" t="s">
        <v>46</v>
      </c>
      <c r="E204" s="41">
        <v>160</v>
      </c>
      <c r="F204" s="35" t="s">
        <v>47</v>
      </c>
      <c r="G204" s="35">
        <v>5</v>
      </c>
      <c r="H204" s="146" t="s">
        <v>386</v>
      </c>
      <c r="I204" s="42" t="s">
        <v>437</v>
      </c>
      <c r="J204" s="42" t="s">
        <v>79</v>
      </c>
      <c r="K204" s="194" t="s">
        <v>60</v>
      </c>
      <c r="L204" s="113" t="s">
        <v>61</v>
      </c>
      <c r="M204" s="113" t="s">
        <v>61</v>
      </c>
      <c r="N204" s="113" t="s">
        <v>60</v>
      </c>
      <c r="O204" s="113"/>
      <c r="P204" s="37" t="s">
        <v>54</v>
      </c>
      <c r="Q204" s="39"/>
    </row>
    <row r="205" spans="1:17" ht="13">
      <c r="A205" s="32"/>
      <c r="B205" s="40" t="s">
        <v>461</v>
      </c>
      <c r="C205" s="36" t="s">
        <v>119</v>
      </c>
      <c r="D205" s="37" t="s">
        <v>46</v>
      </c>
      <c r="E205" s="41">
        <v>160</v>
      </c>
      <c r="F205" s="35" t="s">
        <v>47</v>
      </c>
      <c r="G205" s="35">
        <v>5</v>
      </c>
      <c r="H205" s="146" t="s">
        <v>386</v>
      </c>
      <c r="I205" s="42" t="s">
        <v>437</v>
      </c>
      <c r="J205" s="42" t="s">
        <v>79</v>
      </c>
      <c r="K205" s="194" t="s">
        <v>462</v>
      </c>
      <c r="L205" s="36" t="s">
        <v>463</v>
      </c>
      <c r="M205" s="36" t="s">
        <v>13</v>
      </c>
      <c r="N205" s="36">
        <v>2000</v>
      </c>
      <c r="O205" s="36" t="s">
        <v>53</v>
      </c>
      <c r="P205" s="37" t="s">
        <v>54</v>
      </c>
      <c r="Q205" s="39"/>
    </row>
    <row r="206" spans="1:17" ht="13">
      <c r="A206" s="32"/>
      <c r="B206" s="40" t="s">
        <v>464</v>
      </c>
      <c r="C206" s="36" t="s">
        <v>119</v>
      </c>
      <c r="D206" s="37" t="s">
        <v>46</v>
      </c>
      <c r="E206" s="41">
        <v>160</v>
      </c>
      <c r="F206" s="35" t="s">
        <v>47</v>
      </c>
      <c r="G206" s="35">
        <v>5</v>
      </c>
      <c r="H206" s="146" t="s">
        <v>386</v>
      </c>
      <c r="I206" s="42" t="s">
        <v>437</v>
      </c>
      <c r="J206" s="42" t="s">
        <v>79</v>
      </c>
      <c r="K206" s="194" t="s">
        <v>60</v>
      </c>
      <c r="L206" s="113" t="s">
        <v>61</v>
      </c>
      <c r="M206" s="113" t="s">
        <v>61</v>
      </c>
      <c r="N206" s="113" t="s">
        <v>60</v>
      </c>
      <c r="O206" s="113"/>
      <c r="P206" s="37" t="s">
        <v>54</v>
      </c>
      <c r="Q206" s="39"/>
    </row>
    <row r="207" spans="1:17" ht="13">
      <c r="A207" s="32"/>
      <c r="B207" s="40" t="s">
        <v>465</v>
      </c>
      <c r="C207" s="36" t="s">
        <v>119</v>
      </c>
      <c r="D207" s="37" t="s">
        <v>46</v>
      </c>
      <c r="E207" s="41">
        <v>160</v>
      </c>
      <c r="F207" s="35" t="s">
        <v>47</v>
      </c>
      <c r="G207" s="35">
        <v>5</v>
      </c>
      <c r="H207" s="146" t="s">
        <v>386</v>
      </c>
      <c r="I207" s="42" t="s">
        <v>437</v>
      </c>
      <c r="J207" s="42" t="s">
        <v>79</v>
      </c>
      <c r="K207" s="194" t="s">
        <v>466</v>
      </c>
      <c r="L207" s="36" t="s">
        <v>467</v>
      </c>
      <c r="M207" s="36" t="s">
        <v>97</v>
      </c>
      <c r="N207" s="36">
        <v>2550</v>
      </c>
      <c r="O207" s="36" t="s">
        <v>82</v>
      </c>
      <c r="P207" s="37" t="s">
        <v>54</v>
      </c>
      <c r="Q207" s="39"/>
    </row>
    <row r="208" spans="1:17" ht="13">
      <c r="A208" s="32"/>
      <c r="B208" s="40" t="s">
        <v>468</v>
      </c>
      <c r="C208" s="36" t="s">
        <v>119</v>
      </c>
      <c r="D208" s="37" t="s">
        <v>46</v>
      </c>
      <c r="E208" s="41">
        <v>160</v>
      </c>
      <c r="F208" s="35" t="s">
        <v>47</v>
      </c>
      <c r="G208" s="35">
        <v>5</v>
      </c>
      <c r="H208" s="146" t="s">
        <v>386</v>
      </c>
      <c r="I208" s="42" t="s">
        <v>437</v>
      </c>
      <c r="J208" s="42" t="s">
        <v>79</v>
      </c>
      <c r="K208" s="194" t="s">
        <v>60</v>
      </c>
      <c r="L208" s="113" t="s">
        <v>61</v>
      </c>
      <c r="M208" s="113" t="s">
        <v>61</v>
      </c>
      <c r="N208" s="113" t="s">
        <v>60</v>
      </c>
      <c r="O208" s="113"/>
      <c r="P208" s="37" t="s">
        <v>54</v>
      </c>
      <c r="Q208" s="39"/>
    </row>
    <row r="209" spans="1:17" ht="13">
      <c r="A209" s="32"/>
      <c r="B209" s="40" t="s">
        <v>469</v>
      </c>
      <c r="C209" s="36" t="s">
        <v>119</v>
      </c>
      <c r="D209" s="37" t="s">
        <v>46</v>
      </c>
      <c r="E209" s="41">
        <v>160</v>
      </c>
      <c r="F209" s="35" t="s">
        <v>47</v>
      </c>
      <c r="G209" s="35">
        <v>5</v>
      </c>
      <c r="H209" s="146" t="s">
        <v>386</v>
      </c>
      <c r="I209" s="42" t="s">
        <v>437</v>
      </c>
      <c r="J209" s="42" t="s">
        <v>79</v>
      </c>
      <c r="K209" s="194" t="s">
        <v>470</v>
      </c>
      <c r="L209" s="36" t="s">
        <v>471</v>
      </c>
      <c r="M209" s="36" t="s">
        <v>13</v>
      </c>
      <c r="N209" s="36">
        <v>2000</v>
      </c>
      <c r="O209" s="36" t="s">
        <v>53</v>
      </c>
      <c r="P209" s="37" t="s">
        <v>54</v>
      </c>
      <c r="Q209" s="39"/>
    </row>
    <row r="210" spans="1:17" ht="13">
      <c r="A210" s="32"/>
      <c r="B210" s="40" t="s">
        <v>472</v>
      </c>
      <c r="C210" s="36" t="s">
        <v>119</v>
      </c>
      <c r="D210" s="37" t="s">
        <v>46</v>
      </c>
      <c r="E210" s="41">
        <v>160</v>
      </c>
      <c r="F210" s="35" t="s">
        <v>47</v>
      </c>
      <c r="G210" s="35">
        <v>5</v>
      </c>
      <c r="H210" s="146" t="s">
        <v>386</v>
      </c>
      <c r="I210" s="42" t="s">
        <v>437</v>
      </c>
      <c r="J210" s="42" t="s">
        <v>79</v>
      </c>
      <c r="K210" s="194" t="s">
        <v>60</v>
      </c>
      <c r="L210" s="113" t="s">
        <v>61</v>
      </c>
      <c r="M210" s="113" t="s">
        <v>61</v>
      </c>
      <c r="N210" s="113" t="s">
        <v>60</v>
      </c>
      <c r="O210" s="113"/>
      <c r="P210" s="37" t="s">
        <v>54</v>
      </c>
      <c r="Q210" s="39"/>
    </row>
    <row r="211" spans="1:17" s="158" customFormat="1" ht="13">
      <c r="A211" s="159"/>
      <c r="B211" s="153" t="s">
        <v>473</v>
      </c>
      <c r="C211" s="186" t="s">
        <v>424</v>
      </c>
      <c r="D211" s="154" t="s">
        <v>74</v>
      </c>
      <c r="E211" s="188"/>
      <c r="F211" s="189" t="s">
        <v>424</v>
      </c>
      <c r="G211" s="191">
        <v>5</v>
      </c>
      <c r="H211" s="192" t="s">
        <v>386</v>
      </c>
      <c r="I211" s="155" t="s">
        <v>437</v>
      </c>
      <c r="J211" s="155" t="s">
        <v>79</v>
      </c>
      <c r="K211" s="195" t="s">
        <v>474</v>
      </c>
      <c r="L211" s="156"/>
      <c r="M211" s="156"/>
      <c r="N211" s="156"/>
      <c r="O211" s="36"/>
      <c r="P211" s="154" t="s">
        <v>54</v>
      </c>
      <c r="Q211" s="157" t="s">
        <v>426</v>
      </c>
    </row>
    <row r="212" spans="1:17" ht="13">
      <c r="A212" s="32"/>
      <c r="B212" s="40" t="s">
        <v>475</v>
      </c>
      <c r="C212" s="135" t="s">
        <v>424</v>
      </c>
      <c r="D212" s="37" t="s">
        <v>74</v>
      </c>
      <c r="E212" s="41"/>
      <c r="F212" s="148" t="s">
        <v>424</v>
      </c>
      <c r="G212" s="35">
        <v>5</v>
      </c>
      <c r="H212" s="146" t="s">
        <v>386</v>
      </c>
      <c r="I212" s="42" t="s">
        <v>437</v>
      </c>
      <c r="J212" s="42" t="s">
        <v>79</v>
      </c>
      <c r="K212" s="194" t="s">
        <v>60</v>
      </c>
      <c r="L212" s="113" t="s">
        <v>61</v>
      </c>
      <c r="M212" s="113" t="s">
        <v>61</v>
      </c>
      <c r="N212" s="113" t="s">
        <v>60</v>
      </c>
      <c r="O212" s="113"/>
      <c r="P212" s="37" t="s">
        <v>54</v>
      </c>
      <c r="Q212" s="39" t="s">
        <v>426</v>
      </c>
    </row>
    <row r="213" spans="1:17" ht="13">
      <c r="A213" s="32"/>
      <c r="B213" s="40" t="s">
        <v>476</v>
      </c>
      <c r="C213" s="35" t="s">
        <v>429</v>
      </c>
      <c r="D213" s="37" t="s">
        <v>46</v>
      </c>
      <c r="E213" s="41">
        <f>IF(F213="MicroBT", 486, 560)</f>
        <v>486</v>
      </c>
      <c r="F213" s="35" t="s">
        <v>59</v>
      </c>
      <c r="G213" s="42"/>
      <c r="H213" s="146" t="s">
        <v>477</v>
      </c>
      <c r="I213" s="42" t="s">
        <v>431</v>
      </c>
      <c r="J213" s="42" t="s">
        <v>432</v>
      </c>
      <c r="K213" s="194" t="s">
        <v>478</v>
      </c>
      <c r="L213" s="36" t="s">
        <v>479</v>
      </c>
      <c r="M213" s="36" t="s">
        <v>13</v>
      </c>
      <c r="N213" s="36">
        <v>2000</v>
      </c>
      <c r="O213" s="36" t="s">
        <v>53</v>
      </c>
      <c r="P213" s="37" t="s">
        <v>435</v>
      </c>
      <c r="Q213" s="39"/>
    </row>
    <row r="214" spans="1:17" ht="13">
      <c r="A214" s="32"/>
      <c r="B214" s="40" t="s">
        <v>480</v>
      </c>
      <c r="C214" s="42" t="s">
        <v>481</v>
      </c>
      <c r="D214" s="37" t="s">
        <v>74</v>
      </c>
      <c r="E214" s="41"/>
      <c r="F214" s="35" t="s">
        <v>47</v>
      </c>
      <c r="G214" s="42"/>
      <c r="H214" s="146" t="s">
        <v>430</v>
      </c>
      <c r="I214" s="42" t="s">
        <v>431</v>
      </c>
      <c r="J214" s="42" t="s">
        <v>432</v>
      </c>
      <c r="K214" s="194" t="s">
        <v>482</v>
      </c>
      <c r="L214" s="36" t="s">
        <v>483</v>
      </c>
      <c r="M214" s="36" t="s">
        <v>13</v>
      </c>
      <c r="N214" s="36">
        <v>2000</v>
      </c>
      <c r="O214" s="36" t="s">
        <v>53</v>
      </c>
      <c r="P214" s="37" t="s">
        <v>435</v>
      </c>
      <c r="Q214" s="39" t="s">
        <v>484</v>
      </c>
    </row>
    <row r="215" spans="1:17" ht="13">
      <c r="A215" s="32"/>
      <c r="B215" s="40" t="s">
        <v>485</v>
      </c>
      <c r="C215" s="36" t="s">
        <v>119</v>
      </c>
      <c r="D215" s="37" t="s">
        <v>46</v>
      </c>
      <c r="E215" s="41">
        <v>160</v>
      </c>
      <c r="F215" s="35" t="s">
        <v>47</v>
      </c>
      <c r="G215" s="42">
        <v>6</v>
      </c>
      <c r="H215" s="146" t="s">
        <v>486</v>
      </c>
      <c r="I215" s="42" t="s">
        <v>431</v>
      </c>
      <c r="J215" s="42" t="s">
        <v>432</v>
      </c>
      <c r="K215" s="194" t="s">
        <v>487</v>
      </c>
      <c r="L215" s="36">
        <v>82413877774</v>
      </c>
      <c r="M215" s="36" t="s">
        <v>13</v>
      </c>
      <c r="N215" s="36">
        <v>2000</v>
      </c>
      <c r="O215" s="36" t="s">
        <v>53</v>
      </c>
      <c r="P215" s="37" t="s">
        <v>54</v>
      </c>
      <c r="Q215" s="39" t="s">
        <v>488</v>
      </c>
    </row>
    <row r="216" spans="1:17" ht="13">
      <c r="A216" s="32"/>
      <c r="B216" s="40" t="s">
        <v>489</v>
      </c>
      <c r="C216" s="36" t="s">
        <v>119</v>
      </c>
      <c r="D216" s="37" t="s">
        <v>46</v>
      </c>
      <c r="E216" s="41">
        <v>160</v>
      </c>
      <c r="F216" s="35" t="s">
        <v>47</v>
      </c>
      <c r="G216" s="42">
        <v>6</v>
      </c>
      <c r="H216" s="146" t="s">
        <v>486</v>
      </c>
      <c r="I216" s="42" t="s">
        <v>431</v>
      </c>
      <c r="J216" s="42" t="s">
        <v>432</v>
      </c>
      <c r="K216" s="194" t="s">
        <v>60</v>
      </c>
      <c r="L216" s="113" t="s">
        <v>61</v>
      </c>
      <c r="M216" s="113" t="s">
        <v>61</v>
      </c>
      <c r="N216" s="113" t="s">
        <v>60</v>
      </c>
      <c r="O216" s="113"/>
      <c r="P216" s="37" t="s">
        <v>54</v>
      </c>
      <c r="Q216" s="39"/>
    </row>
    <row r="217" spans="1:17" ht="13">
      <c r="A217" s="32"/>
      <c r="B217" s="40" t="s">
        <v>490</v>
      </c>
      <c r="C217" s="36" t="s">
        <v>119</v>
      </c>
      <c r="D217" s="37" t="s">
        <v>46</v>
      </c>
      <c r="E217" s="41">
        <v>160</v>
      </c>
      <c r="F217" s="35" t="s">
        <v>47</v>
      </c>
      <c r="G217" s="42">
        <v>6</v>
      </c>
      <c r="H217" s="146" t="s">
        <v>486</v>
      </c>
      <c r="I217" s="42" t="s">
        <v>431</v>
      </c>
      <c r="J217" s="42" t="s">
        <v>432</v>
      </c>
      <c r="K217" s="194" t="s">
        <v>491</v>
      </c>
      <c r="L217" s="36" t="s">
        <v>492</v>
      </c>
      <c r="M217" s="36" t="s">
        <v>13</v>
      </c>
      <c r="N217" s="36">
        <v>2000</v>
      </c>
      <c r="O217" s="36" t="s">
        <v>53</v>
      </c>
      <c r="P217" s="37" t="s">
        <v>54</v>
      </c>
      <c r="Q217" s="39"/>
    </row>
    <row r="218" spans="1:17" ht="13">
      <c r="A218" s="32"/>
      <c r="B218" s="40" t="s">
        <v>493</v>
      </c>
      <c r="C218" s="36" t="s">
        <v>119</v>
      </c>
      <c r="D218" s="37" t="s">
        <v>46</v>
      </c>
      <c r="E218" s="41">
        <v>160</v>
      </c>
      <c r="F218" s="35" t="s">
        <v>47</v>
      </c>
      <c r="G218" s="42">
        <v>6</v>
      </c>
      <c r="H218" s="146" t="s">
        <v>486</v>
      </c>
      <c r="I218" s="42" t="s">
        <v>431</v>
      </c>
      <c r="J218" s="42" t="s">
        <v>432</v>
      </c>
      <c r="K218" s="194" t="s">
        <v>60</v>
      </c>
      <c r="L218" s="113" t="s">
        <v>61</v>
      </c>
      <c r="M218" s="113" t="s">
        <v>61</v>
      </c>
      <c r="N218" s="113" t="s">
        <v>60</v>
      </c>
      <c r="O218" s="113"/>
      <c r="P218" s="37" t="s">
        <v>54</v>
      </c>
      <c r="Q218" s="39"/>
    </row>
    <row r="219" spans="1:17" ht="13">
      <c r="A219" s="32"/>
      <c r="B219" s="40" t="s">
        <v>494</v>
      </c>
      <c r="C219" s="36" t="s">
        <v>119</v>
      </c>
      <c r="D219" s="37" t="s">
        <v>46</v>
      </c>
      <c r="E219" s="41">
        <v>160</v>
      </c>
      <c r="F219" s="35" t="s">
        <v>47</v>
      </c>
      <c r="G219" s="42">
        <v>6</v>
      </c>
      <c r="H219" s="146" t="s">
        <v>486</v>
      </c>
      <c r="I219" s="42" t="s">
        <v>431</v>
      </c>
      <c r="J219" s="42" t="s">
        <v>432</v>
      </c>
      <c r="K219" s="194" t="s">
        <v>495</v>
      </c>
      <c r="L219" s="36">
        <v>92413908002</v>
      </c>
      <c r="M219" s="36" t="s">
        <v>13</v>
      </c>
      <c r="N219" s="36">
        <v>2500</v>
      </c>
      <c r="O219" s="36" t="s">
        <v>53</v>
      </c>
      <c r="P219" s="37" t="s">
        <v>54</v>
      </c>
      <c r="Q219" s="39"/>
    </row>
    <row r="220" spans="1:17" ht="13">
      <c r="A220" s="32"/>
      <c r="B220" s="40" t="s">
        <v>496</v>
      </c>
      <c r="C220" s="36" t="s">
        <v>119</v>
      </c>
      <c r="D220" s="37" t="s">
        <v>46</v>
      </c>
      <c r="E220" s="41">
        <v>160</v>
      </c>
      <c r="F220" s="35" t="s">
        <v>47</v>
      </c>
      <c r="G220" s="42">
        <v>6</v>
      </c>
      <c r="H220" s="146" t="s">
        <v>486</v>
      </c>
      <c r="I220" s="42" t="s">
        <v>431</v>
      </c>
      <c r="J220" s="42" t="s">
        <v>432</v>
      </c>
      <c r="K220" s="194" t="s">
        <v>60</v>
      </c>
      <c r="L220" s="113" t="s">
        <v>61</v>
      </c>
      <c r="M220" s="113" t="s">
        <v>61</v>
      </c>
      <c r="N220" s="113" t="s">
        <v>60</v>
      </c>
      <c r="O220" s="113"/>
      <c r="P220" s="37" t="s">
        <v>54</v>
      </c>
      <c r="Q220" s="39"/>
    </row>
    <row r="221" spans="1:17" ht="13">
      <c r="A221" s="32"/>
      <c r="B221" s="40" t="s">
        <v>497</v>
      </c>
      <c r="C221" s="36" t="s">
        <v>119</v>
      </c>
      <c r="D221" s="37" t="s">
        <v>46</v>
      </c>
      <c r="E221" s="41">
        <v>160</v>
      </c>
      <c r="F221" s="35" t="s">
        <v>47</v>
      </c>
      <c r="G221" s="42">
        <v>6</v>
      </c>
      <c r="H221" s="146" t="s">
        <v>486</v>
      </c>
      <c r="I221" s="42" t="s">
        <v>431</v>
      </c>
      <c r="J221" s="42" t="s">
        <v>432</v>
      </c>
      <c r="K221" s="194" t="s">
        <v>498</v>
      </c>
      <c r="L221" s="36" t="s">
        <v>499</v>
      </c>
      <c r="M221" s="36" t="s">
        <v>13</v>
      </c>
      <c r="N221" s="36">
        <v>2000</v>
      </c>
      <c r="O221" s="36" t="s">
        <v>53</v>
      </c>
      <c r="P221" s="37" t="s">
        <v>54</v>
      </c>
      <c r="Q221" s="39"/>
    </row>
    <row r="222" spans="1:17" ht="13">
      <c r="A222" s="32"/>
      <c r="B222" s="40" t="s">
        <v>500</v>
      </c>
      <c r="C222" s="36" t="s">
        <v>119</v>
      </c>
      <c r="D222" s="37" t="s">
        <v>46</v>
      </c>
      <c r="E222" s="41">
        <v>160</v>
      </c>
      <c r="F222" s="35" t="s">
        <v>47</v>
      </c>
      <c r="G222" s="42">
        <v>6</v>
      </c>
      <c r="H222" s="146" t="s">
        <v>486</v>
      </c>
      <c r="I222" s="42" t="s">
        <v>431</v>
      </c>
      <c r="J222" s="42" t="s">
        <v>432</v>
      </c>
      <c r="K222" s="194" t="s">
        <v>60</v>
      </c>
      <c r="L222" s="113" t="s">
        <v>61</v>
      </c>
      <c r="M222" s="113" t="s">
        <v>61</v>
      </c>
      <c r="N222" s="113" t="s">
        <v>60</v>
      </c>
      <c r="O222" s="113"/>
      <c r="P222" s="37" t="s">
        <v>54</v>
      </c>
      <c r="Q222" s="39"/>
    </row>
    <row r="223" spans="1:17" ht="13">
      <c r="A223" s="32"/>
      <c r="B223" s="40" t="s">
        <v>501</v>
      </c>
      <c r="C223" s="36" t="s">
        <v>119</v>
      </c>
      <c r="D223" s="37" t="s">
        <v>46</v>
      </c>
      <c r="E223" s="41">
        <v>160</v>
      </c>
      <c r="F223" s="35" t="s">
        <v>47</v>
      </c>
      <c r="G223" s="42">
        <v>6</v>
      </c>
      <c r="H223" s="146" t="s">
        <v>486</v>
      </c>
      <c r="I223" s="42" t="s">
        <v>431</v>
      </c>
      <c r="J223" s="42" t="s">
        <v>432</v>
      </c>
      <c r="K223" s="194" t="s">
        <v>502</v>
      </c>
      <c r="L223" s="36" t="s">
        <v>503</v>
      </c>
      <c r="M223" s="36" t="s">
        <v>13</v>
      </c>
      <c r="N223" s="36">
        <v>2000</v>
      </c>
      <c r="O223" s="36" t="s">
        <v>53</v>
      </c>
      <c r="P223" s="37" t="s">
        <v>54</v>
      </c>
      <c r="Q223" s="39"/>
    </row>
    <row r="224" spans="1:17" ht="13">
      <c r="A224" s="32"/>
      <c r="B224" s="40" t="s">
        <v>504</v>
      </c>
      <c r="C224" s="36" t="s">
        <v>119</v>
      </c>
      <c r="D224" s="37" t="s">
        <v>46</v>
      </c>
      <c r="E224" s="41">
        <v>160</v>
      </c>
      <c r="F224" s="35" t="s">
        <v>47</v>
      </c>
      <c r="G224" s="42">
        <v>6</v>
      </c>
      <c r="H224" s="146" t="s">
        <v>486</v>
      </c>
      <c r="I224" s="42" t="s">
        <v>431</v>
      </c>
      <c r="J224" s="42" t="s">
        <v>432</v>
      </c>
      <c r="K224" s="194" t="s">
        <v>60</v>
      </c>
      <c r="L224" s="113" t="s">
        <v>61</v>
      </c>
      <c r="M224" s="113" t="s">
        <v>61</v>
      </c>
      <c r="N224" s="113" t="s">
        <v>60</v>
      </c>
      <c r="O224" s="113"/>
      <c r="P224" s="37" t="s">
        <v>54</v>
      </c>
      <c r="Q224" s="39"/>
    </row>
    <row r="225" spans="1:17" ht="13">
      <c r="A225" s="32"/>
      <c r="B225" s="40" t="s">
        <v>505</v>
      </c>
      <c r="C225" s="36" t="s">
        <v>119</v>
      </c>
      <c r="D225" s="37" t="s">
        <v>46</v>
      </c>
      <c r="E225" s="41">
        <v>160</v>
      </c>
      <c r="F225" s="35" t="s">
        <v>47</v>
      </c>
      <c r="G225" s="42">
        <v>6</v>
      </c>
      <c r="H225" s="146" t="s">
        <v>486</v>
      </c>
      <c r="I225" s="42" t="s">
        <v>431</v>
      </c>
      <c r="J225" s="42" t="s">
        <v>432</v>
      </c>
      <c r="K225" s="194" t="s">
        <v>506</v>
      </c>
      <c r="L225" s="36" t="s">
        <v>507</v>
      </c>
      <c r="M225" s="36" t="s">
        <v>13</v>
      </c>
      <c r="N225" s="36">
        <v>2000</v>
      </c>
      <c r="O225" s="36" t="s">
        <v>53</v>
      </c>
      <c r="P225" s="37" t="s">
        <v>54</v>
      </c>
      <c r="Q225" s="39"/>
    </row>
    <row r="226" spans="1:17" ht="13">
      <c r="A226" s="32"/>
      <c r="B226" s="40" t="s">
        <v>508</v>
      </c>
      <c r="C226" s="36" t="s">
        <v>119</v>
      </c>
      <c r="D226" s="37" t="s">
        <v>46</v>
      </c>
      <c r="E226" s="41">
        <v>160</v>
      </c>
      <c r="F226" s="35" t="s">
        <v>47</v>
      </c>
      <c r="G226" s="42">
        <v>6</v>
      </c>
      <c r="H226" s="146" t="s">
        <v>486</v>
      </c>
      <c r="I226" s="42" t="s">
        <v>431</v>
      </c>
      <c r="J226" s="42" t="s">
        <v>432</v>
      </c>
      <c r="K226" s="194" t="s">
        <v>60</v>
      </c>
      <c r="L226" s="113" t="s">
        <v>61</v>
      </c>
      <c r="M226" s="113" t="s">
        <v>61</v>
      </c>
      <c r="N226" s="113" t="s">
        <v>60</v>
      </c>
      <c r="O226" s="113"/>
      <c r="P226" s="37" t="s">
        <v>54</v>
      </c>
      <c r="Q226" s="39"/>
    </row>
    <row r="227" spans="1:17" ht="13">
      <c r="A227" s="32"/>
      <c r="B227" s="40" t="s">
        <v>509</v>
      </c>
      <c r="C227" s="35" t="s">
        <v>429</v>
      </c>
      <c r="D227" s="37" t="s">
        <v>46</v>
      </c>
      <c r="E227" s="41">
        <f>IF(F227="MicroBT", 486, 560)</f>
        <v>486</v>
      </c>
      <c r="F227" s="35" t="s">
        <v>59</v>
      </c>
      <c r="G227" s="35"/>
      <c r="H227" s="146" t="s">
        <v>510</v>
      </c>
      <c r="I227" s="42" t="s">
        <v>431</v>
      </c>
      <c r="J227" s="42" t="s">
        <v>432</v>
      </c>
      <c r="K227" s="194" t="s">
        <v>511</v>
      </c>
      <c r="L227" s="36" t="s">
        <v>512</v>
      </c>
      <c r="M227" s="36" t="s">
        <v>13</v>
      </c>
      <c r="N227" s="36">
        <v>2000</v>
      </c>
      <c r="O227" s="36" t="s">
        <v>53</v>
      </c>
      <c r="P227" s="37" t="s">
        <v>435</v>
      </c>
      <c r="Q227" s="39"/>
    </row>
    <row r="228" spans="1:17" ht="13">
      <c r="A228" s="32"/>
      <c r="B228" s="40" t="s">
        <v>513</v>
      </c>
      <c r="C228" s="35" t="s">
        <v>429</v>
      </c>
      <c r="D228" s="37" t="s">
        <v>46</v>
      </c>
      <c r="E228" s="41">
        <f>IF(F228="MicroBT", 486, 560)</f>
        <v>486</v>
      </c>
      <c r="F228" s="35" t="s">
        <v>59</v>
      </c>
      <c r="G228" s="35"/>
      <c r="H228" s="146" t="s">
        <v>514</v>
      </c>
      <c r="I228" s="42" t="s">
        <v>431</v>
      </c>
      <c r="J228" s="42" t="s">
        <v>432</v>
      </c>
      <c r="K228" s="194" t="s">
        <v>515</v>
      </c>
      <c r="L228" s="36" t="s">
        <v>516</v>
      </c>
      <c r="M228" s="36" t="s">
        <v>13</v>
      </c>
      <c r="N228" s="36">
        <v>2000</v>
      </c>
      <c r="O228" s="36" t="s">
        <v>53</v>
      </c>
      <c r="P228" s="37" t="s">
        <v>435</v>
      </c>
      <c r="Q228" s="39"/>
    </row>
    <row r="229" spans="1:17" ht="13">
      <c r="A229" s="32"/>
      <c r="B229" s="40" t="s">
        <v>517</v>
      </c>
      <c r="C229" s="42" t="s">
        <v>481</v>
      </c>
      <c r="D229" s="37" t="s">
        <v>74</v>
      </c>
      <c r="E229" s="41"/>
      <c r="F229" s="149" t="s">
        <v>47</v>
      </c>
      <c r="G229" s="35"/>
      <c r="H229" s="146" t="s">
        <v>477</v>
      </c>
      <c r="I229" s="42" t="s">
        <v>431</v>
      </c>
      <c r="J229" s="42" t="s">
        <v>432</v>
      </c>
      <c r="K229" s="194" t="s">
        <v>518</v>
      </c>
      <c r="L229" s="36" t="s">
        <v>519</v>
      </c>
      <c r="M229" s="36" t="s">
        <v>13</v>
      </c>
      <c r="N229" s="36">
        <v>2000</v>
      </c>
      <c r="O229" s="36" t="s">
        <v>53</v>
      </c>
      <c r="P229" s="37" t="s">
        <v>435</v>
      </c>
      <c r="Q229" s="39" t="s">
        <v>484</v>
      </c>
    </row>
    <row r="230" spans="1:17" ht="13">
      <c r="A230" s="32"/>
      <c r="B230" s="40" t="s">
        <v>520</v>
      </c>
      <c r="C230" s="35" t="s">
        <v>429</v>
      </c>
      <c r="D230" s="37" t="s">
        <v>46</v>
      </c>
      <c r="E230" s="41">
        <f>IF(F230="MicroBT", 486, 560)</f>
        <v>486</v>
      </c>
      <c r="F230" s="35" t="s">
        <v>59</v>
      </c>
      <c r="G230" s="35"/>
      <c r="H230" s="146" t="s">
        <v>430</v>
      </c>
      <c r="I230" s="42" t="s">
        <v>431</v>
      </c>
      <c r="J230" s="42" t="s">
        <v>432</v>
      </c>
      <c r="K230" s="194" t="s">
        <v>521</v>
      </c>
      <c r="L230" s="36" t="s">
        <v>522</v>
      </c>
      <c r="M230" s="36" t="s">
        <v>13</v>
      </c>
      <c r="N230" s="36">
        <v>2000</v>
      </c>
      <c r="O230" s="36" t="s">
        <v>53</v>
      </c>
      <c r="P230" s="37" t="s">
        <v>435</v>
      </c>
      <c r="Q230" s="39"/>
    </row>
    <row r="231" spans="1:17" ht="13">
      <c r="A231" s="32"/>
      <c r="B231" s="40" t="s">
        <v>523</v>
      </c>
      <c r="C231" s="36" t="s">
        <v>119</v>
      </c>
      <c r="D231" s="37" t="s">
        <v>46</v>
      </c>
      <c r="E231" s="41">
        <v>160</v>
      </c>
      <c r="F231" s="35" t="s">
        <v>47</v>
      </c>
      <c r="G231" s="42">
        <v>6</v>
      </c>
      <c r="H231" s="146" t="s">
        <v>524</v>
      </c>
      <c r="I231" s="42" t="s">
        <v>431</v>
      </c>
      <c r="J231" s="42" t="s">
        <v>432</v>
      </c>
      <c r="K231" s="194" t="s">
        <v>525</v>
      </c>
      <c r="L231" s="36">
        <v>82212836989</v>
      </c>
      <c r="M231" s="36" t="s">
        <v>13</v>
      </c>
      <c r="N231" s="36">
        <v>2000</v>
      </c>
      <c r="O231" s="36" t="s">
        <v>82</v>
      </c>
      <c r="P231" s="37" t="s">
        <v>54</v>
      </c>
      <c r="Q231" s="39"/>
    </row>
    <row r="232" spans="1:17" ht="13">
      <c r="A232" s="32"/>
      <c r="B232" s="40" t="s">
        <v>526</v>
      </c>
      <c r="C232" s="36" t="s">
        <v>119</v>
      </c>
      <c r="D232" s="37" t="s">
        <v>46</v>
      </c>
      <c r="E232" s="41">
        <v>160</v>
      </c>
      <c r="F232" s="35" t="s">
        <v>47</v>
      </c>
      <c r="G232" s="42">
        <v>6</v>
      </c>
      <c r="H232" s="146" t="s">
        <v>524</v>
      </c>
      <c r="I232" s="42" t="s">
        <v>431</v>
      </c>
      <c r="J232" s="42" t="s">
        <v>432</v>
      </c>
      <c r="K232" s="194" t="s">
        <v>60</v>
      </c>
      <c r="L232" s="113" t="s">
        <v>61</v>
      </c>
      <c r="M232" s="113" t="s">
        <v>61</v>
      </c>
      <c r="N232" s="113" t="s">
        <v>60</v>
      </c>
      <c r="O232" s="113"/>
      <c r="P232" s="37" t="s">
        <v>54</v>
      </c>
      <c r="Q232" s="39"/>
    </row>
    <row r="233" spans="1:17" ht="13">
      <c r="A233" s="32"/>
      <c r="B233" s="40" t="s">
        <v>527</v>
      </c>
      <c r="C233" s="36" t="s">
        <v>119</v>
      </c>
      <c r="D233" s="37" t="s">
        <v>46</v>
      </c>
      <c r="E233" s="41">
        <v>160</v>
      </c>
      <c r="F233" s="35" t="s">
        <v>47</v>
      </c>
      <c r="G233" s="42">
        <v>6</v>
      </c>
      <c r="H233" s="146" t="s">
        <v>524</v>
      </c>
      <c r="I233" s="42" t="s">
        <v>431</v>
      </c>
      <c r="J233" s="42" t="s">
        <v>432</v>
      </c>
      <c r="K233" s="194" t="s">
        <v>528</v>
      </c>
      <c r="L233" s="36">
        <v>82212836990</v>
      </c>
      <c r="M233" s="36" t="s">
        <v>13</v>
      </c>
      <c r="N233" s="36">
        <v>2000</v>
      </c>
      <c r="O233" s="36" t="s">
        <v>82</v>
      </c>
      <c r="P233" s="37" t="s">
        <v>54</v>
      </c>
      <c r="Q233" s="39"/>
    </row>
    <row r="234" spans="1:17" ht="13">
      <c r="A234" s="32"/>
      <c r="B234" s="40" t="s">
        <v>529</v>
      </c>
      <c r="C234" s="36" t="s">
        <v>119</v>
      </c>
      <c r="D234" s="37" t="s">
        <v>46</v>
      </c>
      <c r="E234" s="41">
        <v>160</v>
      </c>
      <c r="F234" s="35" t="s">
        <v>47</v>
      </c>
      <c r="G234" s="42">
        <v>6</v>
      </c>
      <c r="H234" s="146" t="s">
        <v>524</v>
      </c>
      <c r="I234" s="42" t="s">
        <v>431</v>
      </c>
      <c r="J234" s="42" t="s">
        <v>432</v>
      </c>
      <c r="K234" s="194" t="s">
        <v>60</v>
      </c>
      <c r="L234" s="113" t="s">
        <v>61</v>
      </c>
      <c r="M234" s="113" t="s">
        <v>61</v>
      </c>
      <c r="N234" s="113" t="s">
        <v>60</v>
      </c>
      <c r="O234" s="113"/>
      <c r="P234" s="37" t="s">
        <v>54</v>
      </c>
      <c r="Q234" s="39"/>
    </row>
    <row r="235" spans="1:17" ht="13">
      <c r="A235" s="32"/>
      <c r="B235" s="40" t="s">
        <v>530</v>
      </c>
      <c r="C235" s="36" t="s">
        <v>119</v>
      </c>
      <c r="D235" s="37" t="s">
        <v>46</v>
      </c>
      <c r="E235" s="41">
        <v>160</v>
      </c>
      <c r="F235" s="35" t="s">
        <v>47</v>
      </c>
      <c r="G235" s="42">
        <v>6</v>
      </c>
      <c r="H235" s="146" t="s">
        <v>524</v>
      </c>
      <c r="I235" s="42" t="s">
        <v>431</v>
      </c>
      <c r="J235" s="42" t="s">
        <v>432</v>
      </c>
      <c r="K235" s="194" t="s">
        <v>531</v>
      </c>
      <c r="L235" s="36" t="s">
        <v>532</v>
      </c>
      <c r="M235" s="36" t="s">
        <v>13</v>
      </c>
      <c r="N235" s="36">
        <v>2000</v>
      </c>
      <c r="O235" s="36" t="s">
        <v>53</v>
      </c>
      <c r="P235" s="37" t="s">
        <v>54</v>
      </c>
      <c r="Q235" s="39"/>
    </row>
    <row r="236" spans="1:17" ht="13">
      <c r="A236" s="32"/>
      <c r="B236" s="40" t="s">
        <v>533</v>
      </c>
      <c r="C236" s="36" t="s">
        <v>119</v>
      </c>
      <c r="D236" s="37" t="s">
        <v>46</v>
      </c>
      <c r="E236" s="41">
        <v>160</v>
      </c>
      <c r="F236" s="35" t="s">
        <v>47</v>
      </c>
      <c r="G236" s="42">
        <v>6</v>
      </c>
      <c r="H236" s="146" t="s">
        <v>524</v>
      </c>
      <c r="I236" s="42" t="s">
        <v>431</v>
      </c>
      <c r="J236" s="42" t="s">
        <v>432</v>
      </c>
      <c r="K236" s="194" t="s">
        <v>60</v>
      </c>
      <c r="L236" s="113" t="s">
        <v>61</v>
      </c>
      <c r="M236" s="113" t="s">
        <v>61</v>
      </c>
      <c r="N236" s="113" t="s">
        <v>60</v>
      </c>
      <c r="O236" s="113"/>
      <c r="P236" s="37" t="s">
        <v>54</v>
      </c>
      <c r="Q236" s="39"/>
    </row>
    <row r="237" spans="1:17" ht="13">
      <c r="A237" s="32"/>
      <c r="B237" s="40" t="s">
        <v>534</v>
      </c>
      <c r="C237" s="36" t="s">
        <v>119</v>
      </c>
      <c r="D237" s="37" t="s">
        <v>46</v>
      </c>
      <c r="E237" s="41">
        <v>160</v>
      </c>
      <c r="F237" s="35" t="s">
        <v>47</v>
      </c>
      <c r="G237" s="42">
        <v>6</v>
      </c>
      <c r="H237" s="146" t="s">
        <v>524</v>
      </c>
      <c r="I237" s="42" t="s">
        <v>431</v>
      </c>
      <c r="J237" s="42" t="s">
        <v>432</v>
      </c>
      <c r="K237" s="194" t="s">
        <v>535</v>
      </c>
      <c r="L237" s="36" t="s">
        <v>536</v>
      </c>
      <c r="M237" s="36" t="s">
        <v>13</v>
      </c>
      <c r="N237" s="36">
        <v>2000</v>
      </c>
      <c r="O237" s="36" t="s">
        <v>53</v>
      </c>
      <c r="P237" s="37" t="s">
        <v>54</v>
      </c>
      <c r="Q237" s="39"/>
    </row>
    <row r="238" spans="1:17" ht="13">
      <c r="A238" s="32"/>
      <c r="B238" s="40" t="s">
        <v>537</v>
      </c>
      <c r="C238" s="36" t="s">
        <v>119</v>
      </c>
      <c r="D238" s="37" t="s">
        <v>46</v>
      </c>
      <c r="E238" s="41">
        <v>160</v>
      </c>
      <c r="F238" s="35" t="s">
        <v>47</v>
      </c>
      <c r="G238" s="42">
        <v>6</v>
      </c>
      <c r="H238" s="146" t="s">
        <v>524</v>
      </c>
      <c r="I238" s="42" t="s">
        <v>431</v>
      </c>
      <c r="J238" s="42" t="s">
        <v>432</v>
      </c>
      <c r="K238" s="194" t="s">
        <v>60</v>
      </c>
      <c r="L238" s="113" t="s">
        <v>61</v>
      </c>
      <c r="M238" s="113" t="s">
        <v>61</v>
      </c>
      <c r="N238" s="113" t="s">
        <v>60</v>
      </c>
      <c r="O238" s="113"/>
      <c r="P238" s="37" t="s">
        <v>54</v>
      </c>
      <c r="Q238" s="39"/>
    </row>
    <row r="239" spans="1:17" ht="13">
      <c r="A239" s="32"/>
      <c r="B239" s="40" t="s">
        <v>538</v>
      </c>
      <c r="C239" s="36" t="s">
        <v>119</v>
      </c>
      <c r="D239" s="37" t="s">
        <v>46</v>
      </c>
      <c r="E239" s="41">
        <v>160</v>
      </c>
      <c r="F239" s="35" t="s">
        <v>47</v>
      </c>
      <c r="G239" s="42">
        <v>6</v>
      </c>
      <c r="H239" s="146" t="s">
        <v>524</v>
      </c>
      <c r="I239" s="42" t="s">
        <v>431</v>
      </c>
      <c r="J239" s="42" t="s">
        <v>432</v>
      </c>
      <c r="K239" s="194" t="s">
        <v>539</v>
      </c>
      <c r="L239" s="36" t="s">
        <v>540</v>
      </c>
      <c r="M239" s="36" t="s">
        <v>13</v>
      </c>
      <c r="N239" s="36">
        <v>2000</v>
      </c>
      <c r="O239" s="36" t="s">
        <v>53</v>
      </c>
      <c r="P239" s="37" t="s">
        <v>54</v>
      </c>
      <c r="Q239" s="39"/>
    </row>
    <row r="240" spans="1:17" ht="13">
      <c r="A240" s="32"/>
      <c r="B240" s="40" t="s">
        <v>541</v>
      </c>
      <c r="C240" s="36" t="s">
        <v>119</v>
      </c>
      <c r="D240" s="37" t="s">
        <v>46</v>
      </c>
      <c r="E240" s="41">
        <v>160</v>
      </c>
      <c r="F240" s="35" t="s">
        <v>47</v>
      </c>
      <c r="G240" s="42">
        <v>6</v>
      </c>
      <c r="H240" s="146" t="s">
        <v>524</v>
      </c>
      <c r="I240" s="42" t="s">
        <v>431</v>
      </c>
      <c r="J240" s="42" t="s">
        <v>432</v>
      </c>
      <c r="K240" s="194" t="s">
        <v>60</v>
      </c>
      <c r="L240" s="113" t="s">
        <v>61</v>
      </c>
      <c r="M240" s="113" t="s">
        <v>61</v>
      </c>
      <c r="N240" s="113" t="s">
        <v>60</v>
      </c>
      <c r="O240" s="113"/>
      <c r="P240" s="37" t="s">
        <v>54</v>
      </c>
      <c r="Q240" s="39"/>
    </row>
    <row r="241" spans="1:17" ht="13">
      <c r="A241" s="32"/>
      <c r="B241" s="40" t="s">
        <v>542</v>
      </c>
      <c r="C241" s="36" t="s">
        <v>119</v>
      </c>
      <c r="D241" s="37" t="s">
        <v>46</v>
      </c>
      <c r="E241" s="41">
        <v>160</v>
      </c>
      <c r="F241" s="35" t="s">
        <v>47</v>
      </c>
      <c r="G241" s="42">
        <v>6</v>
      </c>
      <c r="H241" s="146" t="s">
        <v>524</v>
      </c>
      <c r="I241" s="42" t="s">
        <v>431</v>
      </c>
      <c r="J241" s="42" t="s">
        <v>432</v>
      </c>
      <c r="K241" s="194" t="s">
        <v>543</v>
      </c>
      <c r="L241" s="36" t="s">
        <v>544</v>
      </c>
      <c r="M241" s="36" t="s">
        <v>13</v>
      </c>
      <c r="N241" s="36">
        <v>2000</v>
      </c>
      <c r="O241" s="36" t="s">
        <v>53</v>
      </c>
      <c r="P241" s="37" t="s">
        <v>54</v>
      </c>
      <c r="Q241" s="39"/>
    </row>
    <row r="242" spans="1:17" ht="13">
      <c r="A242" s="32"/>
      <c r="B242" s="40" t="s">
        <v>545</v>
      </c>
      <c r="C242" s="36" t="s">
        <v>119</v>
      </c>
      <c r="D242" s="37" t="s">
        <v>46</v>
      </c>
      <c r="E242" s="41">
        <v>160</v>
      </c>
      <c r="F242" s="35" t="s">
        <v>47</v>
      </c>
      <c r="G242" s="42">
        <v>6</v>
      </c>
      <c r="H242" s="146" t="s">
        <v>524</v>
      </c>
      <c r="I242" s="42" t="s">
        <v>431</v>
      </c>
      <c r="J242" s="42" t="s">
        <v>432</v>
      </c>
      <c r="K242" s="194" t="s">
        <v>60</v>
      </c>
      <c r="L242" s="113" t="s">
        <v>61</v>
      </c>
      <c r="M242" s="113" t="s">
        <v>61</v>
      </c>
      <c r="N242" s="113" t="s">
        <v>60</v>
      </c>
      <c r="O242" s="113"/>
      <c r="P242" s="37" t="s">
        <v>54</v>
      </c>
      <c r="Q242" s="39"/>
    </row>
    <row r="243" spans="1:17" ht="13">
      <c r="A243" s="32"/>
      <c r="B243" s="40" t="s">
        <v>546</v>
      </c>
      <c r="C243" s="35" t="s">
        <v>547</v>
      </c>
      <c r="D243" s="37" t="s">
        <v>46</v>
      </c>
      <c r="E243" s="41">
        <f>IF(F243="MicroBT", 486, 560)</f>
        <v>486</v>
      </c>
      <c r="F243" s="35" t="s">
        <v>59</v>
      </c>
      <c r="G243" s="42"/>
      <c r="H243" s="146" t="s">
        <v>510</v>
      </c>
      <c r="I243" s="42" t="s">
        <v>431</v>
      </c>
      <c r="J243" s="42" t="s">
        <v>432</v>
      </c>
      <c r="K243" s="194" t="s">
        <v>548</v>
      </c>
      <c r="L243" s="36" t="s">
        <v>549</v>
      </c>
      <c r="M243" s="36" t="s">
        <v>13</v>
      </c>
      <c r="N243" s="36">
        <v>2000</v>
      </c>
      <c r="O243" s="36" t="s">
        <v>53</v>
      </c>
      <c r="P243" s="37" t="s">
        <v>435</v>
      </c>
      <c r="Q243" s="39"/>
    </row>
    <row r="244" spans="1:17" ht="13">
      <c r="A244" s="32"/>
      <c r="B244" s="40" t="s">
        <v>550</v>
      </c>
      <c r="C244" s="42" t="s">
        <v>481</v>
      </c>
      <c r="D244" s="37" t="s">
        <v>74</v>
      </c>
      <c r="E244" s="41"/>
      <c r="F244" s="149" t="s">
        <v>47</v>
      </c>
      <c r="G244" s="42"/>
      <c r="H244" s="146" t="s">
        <v>514</v>
      </c>
      <c r="I244" s="42" t="s">
        <v>431</v>
      </c>
      <c r="J244" s="42" t="s">
        <v>432</v>
      </c>
      <c r="K244" s="194" t="s">
        <v>551</v>
      </c>
      <c r="L244" s="36" t="s">
        <v>552</v>
      </c>
      <c r="M244" s="36" t="s">
        <v>13</v>
      </c>
      <c r="N244" s="36">
        <v>2000</v>
      </c>
      <c r="O244" s="36" t="s">
        <v>53</v>
      </c>
      <c r="P244" s="37" t="s">
        <v>435</v>
      </c>
      <c r="Q244" s="39" t="s">
        <v>484</v>
      </c>
    </row>
    <row r="245" spans="1:17" ht="13">
      <c r="A245" s="32"/>
      <c r="B245" s="40" t="s">
        <v>553</v>
      </c>
      <c r="C245" s="35" t="s">
        <v>429</v>
      </c>
      <c r="D245" s="37" t="s">
        <v>46</v>
      </c>
      <c r="E245" s="41">
        <f>IF(F245="MicroBT", 486, 560)</f>
        <v>486</v>
      </c>
      <c r="F245" s="35" t="s">
        <v>59</v>
      </c>
      <c r="G245" s="42"/>
      <c r="H245" s="146" t="s">
        <v>477</v>
      </c>
      <c r="I245" s="42" t="s">
        <v>431</v>
      </c>
      <c r="J245" s="42" t="s">
        <v>432</v>
      </c>
      <c r="K245" s="194" t="s">
        <v>554</v>
      </c>
      <c r="L245" s="36" t="s">
        <v>555</v>
      </c>
      <c r="M245" s="36" t="s">
        <v>13</v>
      </c>
      <c r="N245" s="36">
        <v>2000</v>
      </c>
      <c r="O245" s="36" t="s">
        <v>53</v>
      </c>
      <c r="P245" s="37" t="s">
        <v>435</v>
      </c>
      <c r="Q245" s="39"/>
    </row>
    <row r="246" spans="1:17" ht="13">
      <c r="A246" s="32"/>
      <c r="B246" s="40" t="s">
        <v>556</v>
      </c>
      <c r="C246" s="35" t="s">
        <v>429</v>
      </c>
      <c r="D246" s="37" t="s">
        <v>46</v>
      </c>
      <c r="E246" s="41">
        <f>IF(F246="MicroBT", 486, 560)</f>
        <v>486</v>
      </c>
      <c r="F246" s="35" t="s">
        <v>59</v>
      </c>
      <c r="G246" s="42"/>
      <c r="H246" s="146" t="s">
        <v>430</v>
      </c>
      <c r="I246" s="42" t="s">
        <v>431</v>
      </c>
      <c r="J246" s="42" t="s">
        <v>432</v>
      </c>
      <c r="K246" s="194" t="s">
        <v>557</v>
      </c>
      <c r="L246" s="36" t="s">
        <v>558</v>
      </c>
      <c r="M246" s="36" t="s">
        <v>13</v>
      </c>
      <c r="N246" s="36">
        <v>2000</v>
      </c>
      <c r="O246" s="36" t="s">
        <v>53</v>
      </c>
      <c r="P246" s="37" t="s">
        <v>435</v>
      </c>
      <c r="Q246" s="39"/>
    </row>
    <row r="247" spans="1:17" ht="13">
      <c r="A247" s="32"/>
      <c r="B247" s="40" t="s">
        <v>559</v>
      </c>
      <c r="C247" s="42" t="s">
        <v>481</v>
      </c>
      <c r="D247" s="37" t="s">
        <v>74</v>
      </c>
      <c r="E247" s="41"/>
      <c r="F247" s="35" t="s">
        <v>47</v>
      </c>
      <c r="G247" s="42"/>
      <c r="H247" s="146" t="s">
        <v>560</v>
      </c>
      <c r="I247" s="42" t="s">
        <v>431</v>
      </c>
      <c r="J247" s="42" t="s">
        <v>432</v>
      </c>
      <c r="K247" s="194" t="s">
        <v>561</v>
      </c>
      <c r="L247" s="36" t="s">
        <v>562</v>
      </c>
      <c r="M247" s="36" t="s">
        <v>13</v>
      </c>
      <c r="N247" s="36">
        <v>2000</v>
      </c>
      <c r="O247" s="36" t="s">
        <v>53</v>
      </c>
      <c r="P247" s="37" t="s">
        <v>435</v>
      </c>
      <c r="Q247" s="39" t="s">
        <v>484</v>
      </c>
    </row>
    <row r="248" spans="1:17" ht="13">
      <c r="A248" s="32"/>
      <c r="B248" s="40" t="s">
        <v>563</v>
      </c>
      <c r="C248" s="42" t="s">
        <v>481</v>
      </c>
      <c r="D248" s="37" t="s">
        <v>74</v>
      </c>
      <c r="E248" s="41"/>
      <c r="F248" s="35" t="s">
        <v>47</v>
      </c>
      <c r="G248" s="42"/>
      <c r="H248" s="146" t="s">
        <v>564</v>
      </c>
      <c r="I248" s="42" t="s">
        <v>431</v>
      </c>
      <c r="J248" s="42" t="s">
        <v>432</v>
      </c>
      <c r="K248" s="194" t="s">
        <v>565</v>
      </c>
      <c r="L248" s="36" t="s">
        <v>566</v>
      </c>
      <c r="M248" s="36" t="s">
        <v>13</v>
      </c>
      <c r="N248" s="36">
        <v>2000</v>
      </c>
      <c r="O248" s="36" t="s">
        <v>53</v>
      </c>
      <c r="P248" s="37" t="s">
        <v>435</v>
      </c>
      <c r="Q248" s="39" t="s">
        <v>484</v>
      </c>
    </row>
    <row r="249" spans="1:17" ht="13">
      <c r="A249" s="32"/>
      <c r="B249" s="40" t="s">
        <v>567</v>
      </c>
      <c r="C249" s="35" t="s">
        <v>568</v>
      </c>
      <c r="D249" s="37" t="s">
        <v>46</v>
      </c>
      <c r="E249" s="41">
        <f>IF(F249="MicroBT", 486, 560)</f>
        <v>486</v>
      </c>
      <c r="F249" s="35" t="s">
        <v>59</v>
      </c>
      <c r="G249" s="42"/>
      <c r="H249" s="146" t="s">
        <v>569</v>
      </c>
      <c r="I249" s="42" t="s">
        <v>431</v>
      </c>
      <c r="J249" s="42" t="s">
        <v>432</v>
      </c>
      <c r="K249" s="194" t="s">
        <v>570</v>
      </c>
      <c r="L249" s="36" t="s">
        <v>571</v>
      </c>
      <c r="M249" s="36" t="s">
        <v>13</v>
      </c>
      <c r="N249" s="36">
        <v>2000</v>
      </c>
      <c r="O249" s="36" t="s">
        <v>53</v>
      </c>
      <c r="P249" s="37" t="s">
        <v>435</v>
      </c>
      <c r="Q249" s="39"/>
    </row>
    <row r="250" spans="1:17" ht="13">
      <c r="A250" s="32"/>
      <c r="B250" s="40" t="s">
        <v>572</v>
      </c>
      <c r="C250" s="42" t="s">
        <v>481</v>
      </c>
      <c r="D250" s="37" t="s">
        <v>74</v>
      </c>
      <c r="E250" s="41"/>
      <c r="F250" s="35" t="s">
        <v>47</v>
      </c>
      <c r="G250" s="42"/>
      <c r="H250" s="146" t="s">
        <v>573</v>
      </c>
      <c r="I250" s="42" t="s">
        <v>431</v>
      </c>
      <c r="J250" s="42" t="s">
        <v>432</v>
      </c>
      <c r="K250" s="194" t="s">
        <v>574</v>
      </c>
      <c r="L250" s="36" t="s">
        <v>575</v>
      </c>
      <c r="M250" s="36" t="s">
        <v>13</v>
      </c>
      <c r="N250" s="36">
        <v>2000</v>
      </c>
      <c r="O250" s="36" t="s">
        <v>53</v>
      </c>
      <c r="P250" s="37" t="s">
        <v>435</v>
      </c>
      <c r="Q250" s="39" t="s">
        <v>484</v>
      </c>
    </row>
    <row r="251" spans="1:17" ht="13">
      <c r="A251" s="32"/>
      <c r="B251" s="40" t="s">
        <v>576</v>
      </c>
      <c r="C251" s="41" t="s">
        <v>568</v>
      </c>
      <c r="D251" s="37" t="s">
        <v>46</v>
      </c>
      <c r="E251" s="41">
        <f t="shared" ref="E251:E288" si="0">IF(F251="MicroBT", 486, 560)</f>
        <v>486</v>
      </c>
      <c r="F251" s="35" t="s">
        <v>59</v>
      </c>
      <c r="G251" s="42"/>
      <c r="H251" s="146" t="s">
        <v>577</v>
      </c>
      <c r="I251" s="42" t="s">
        <v>431</v>
      </c>
      <c r="J251" s="42" t="s">
        <v>432</v>
      </c>
      <c r="K251" s="194" t="s">
        <v>578</v>
      </c>
      <c r="L251" s="36" t="s">
        <v>579</v>
      </c>
      <c r="M251" s="36" t="s">
        <v>13</v>
      </c>
      <c r="N251" s="36">
        <v>2000</v>
      </c>
      <c r="O251" s="36" t="s">
        <v>53</v>
      </c>
      <c r="P251" s="37" t="s">
        <v>435</v>
      </c>
      <c r="Q251" s="39"/>
    </row>
    <row r="252" spans="1:17" ht="13">
      <c r="A252" s="32"/>
      <c r="B252" s="40" t="s">
        <v>580</v>
      </c>
      <c r="C252" s="41" t="s">
        <v>568</v>
      </c>
      <c r="D252" s="37" t="s">
        <v>46</v>
      </c>
      <c r="E252" s="41">
        <f t="shared" si="0"/>
        <v>560</v>
      </c>
      <c r="F252" s="35" t="s">
        <v>47</v>
      </c>
      <c r="G252" s="42"/>
      <c r="H252" s="146" t="s">
        <v>581</v>
      </c>
      <c r="I252" s="42" t="s">
        <v>431</v>
      </c>
      <c r="J252" s="42" t="s">
        <v>432</v>
      </c>
      <c r="K252" s="194" t="s">
        <v>582</v>
      </c>
      <c r="L252" s="36" t="s">
        <v>583</v>
      </c>
      <c r="M252" s="36" t="s">
        <v>13</v>
      </c>
      <c r="N252" s="36">
        <v>2000</v>
      </c>
      <c r="O252" s="36" t="s">
        <v>53</v>
      </c>
      <c r="P252" s="37" t="s">
        <v>435</v>
      </c>
      <c r="Q252" s="39"/>
    </row>
    <row r="253" spans="1:17" ht="13">
      <c r="A253" s="32"/>
      <c r="B253" s="40" t="s">
        <v>584</v>
      </c>
      <c r="C253" s="35" t="s">
        <v>429</v>
      </c>
      <c r="D253" s="37" t="s">
        <v>46</v>
      </c>
      <c r="E253" s="41">
        <f t="shared" si="0"/>
        <v>486</v>
      </c>
      <c r="F253" s="35" t="s">
        <v>59</v>
      </c>
      <c r="G253" s="42"/>
      <c r="H253" s="146" t="s">
        <v>510</v>
      </c>
      <c r="I253" s="42" t="s">
        <v>431</v>
      </c>
      <c r="J253" s="42" t="s">
        <v>432</v>
      </c>
      <c r="K253" s="194" t="s">
        <v>585</v>
      </c>
      <c r="L253" s="36" t="s">
        <v>586</v>
      </c>
      <c r="M253" s="36" t="s">
        <v>13</v>
      </c>
      <c r="N253" s="36">
        <v>2000</v>
      </c>
      <c r="O253" s="36" t="s">
        <v>53</v>
      </c>
      <c r="P253" s="37" t="s">
        <v>435</v>
      </c>
      <c r="Q253" s="39"/>
    </row>
    <row r="254" spans="1:17" ht="13">
      <c r="A254" s="32"/>
      <c r="B254" s="40" t="s">
        <v>587</v>
      </c>
      <c r="C254" s="35" t="s">
        <v>568</v>
      </c>
      <c r="D254" s="37" t="s">
        <v>46</v>
      </c>
      <c r="E254" s="41">
        <f t="shared" si="0"/>
        <v>486</v>
      </c>
      <c r="F254" s="35" t="s">
        <v>59</v>
      </c>
      <c r="G254" s="42"/>
      <c r="H254" s="146" t="s">
        <v>514</v>
      </c>
      <c r="I254" s="42" t="s">
        <v>431</v>
      </c>
      <c r="J254" s="42" t="s">
        <v>432</v>
      </c>
      <c r="K254" s="194" t="s">
        <v>588</v>
      </c>
      <c r="L254" s="36" t="s">
        <v>589</v>
      </c>
      <c r="M254" s="36" t="s">
        <v>13</v>
      </c>
      <c r="N254" s="36">
        <v>2000</v>
      </c>
      <c r="O254" s="36" t="s">
        <v>53</v>
      </c>
      <c r="P254" s="37" t="s">
        <v>435</v>
      </c>
      <c r="Q254" s="39"/>
    </row>
    <row r="255" spans="1:17" ht="13">
      <c r="A255" s="32"/>
      <c r="B255" s="40" t="s">
        <v>590</v>
      </c>
      <c r="C255" s="35" t="s">
        <v>547</v>
      </c>
      <c r="D255" s="37" t="s">
        <v>46</v>
      </c>
      <c r="E255" s="41">
        <f t="shared" si="0"/>
        <v>486</v>
      </c>
      <c r="F255" s="35" t="s">
        <v>59</v>
      </c>
      <c r="G255" s="42"/>
      <c r="H255" s="146" t="s">
        <v>477</v>
      </c>
      <c r="I255" s="42" t="s">
        <v>431</v>
      </c>
      <c r="J255" s="42" t="s">
        <v>432</v>
      </c>
      <c r="K255" s="194" t="s">
        <v>591</v>
      </c>
      <c r="L255" s="36" t="s">
        <v>592</v>
      </c>
      <c r="M255" s="36" t="s">
        <v>13</v>
      </c>
      <c r="N255" s="36">
        <v>2000</v>
      </c>
      <c r="O255" s="36" t="s">
        <v>53</v>
      </c>
      <c r="P255" s="37" t="s">
        <v>435</v>
      </c>
      <c r="Q255" s="39"/>
    </row>
    <row r="256" spans="1:17" ht="13">
      <c r="A256" s="32"/>
      <c r="B256" s="40" t="s">
        <v>593</v>
      </c>
      <c r="C256" s="35" t="s">
        <v>547</v>
      </c>
      <c r="D256" s="37" t="s">
        <v>46</v>
      </c>
      <c r="E256" s="41">
        <f t="shared" si="0"/>
        <v>486</v>
      </c>
      <c r="F256" s="35" t="s">
        <v>59</v>
      </c>
      <c r="G256" s="42"/>
      <c r="H256" s="146" t="s">
        <v>430</v>
      </c>
      <c r="I256" s="42" t="s">
        <v>431</v>
      </c>
      <c r="J256" s="42" t="s">
        <v>432</v>
      </c>
      <c r="K256" s="194" t="s">
        <v>594</v>
      </c>
      <c r="L256" s="36" t="s">
        <v>595</v>
      </c>
      <c r="M256" s="36" t="s">
        <v>13</v>
      </c>
      <c r="N256" s="36">
        <v>2000</v>
      </c>
      <c r="O256" s="36" t="s">
        <v>53</v>
      </c>
      <c r="P256" s="37" t="s">
        <v>435</v>
      </c>
      <c r="Q256" s="39"/>
    </row>
    <row r="257" spans="1:17" ht="13">
      <c r="A257" s="32"/>
      <c r="B257" s="40" t="s">
        <v>596</v>
      </c>
      <c r="C257" s="35" t="s">
        <v>568</v>
      </c>
      <c r="D257" s="37" t="s">
        <v>46</v>
      </c>
      <c r="E257" s="41">
        <f t="shared" si="0"/>
        <v>486</v>
      </c>
      <c r="F257" s="35" t="s">
        <v>59</v>
      </c>
      <c r="G257" s="42"/>
      <c r="H257" s="146" t="s">
        <v>560</v>
      </c>
      <c r="I257" s="42" t="s">
        <v>431</v>
      </c>
      <c r="J257" s="42" t="s">
        <v>432</v>
      </c>
      <c r="K257" s="194" t="s">
        <v>597</v>
      </c>
      <c r="L257" s="36" t="s">
        <v>598</v>
      </c>
      <c r="M257" s="36" t="s">
        <v>13</v>
      </c>
      <c r="N257" s="36">
        <v>2000</v>
      </c>
      <c r="O257" s="36" t="s">
        <v>53</v>
      </c>
      <c r="P257" s="37" t="s">
        <v>435</v>
      </c>
      <c r="Q257" s="39"/>
    </row>
    <row r="258" spans="1:17" ht="13">
      <c r="A258" s="32"/>
      <c r="B258" s="40" t="s">
        <v>599</v>
      </c>
      <c r="C258" s="35" t="s">
        <v>568</v>
      </c>
      <c r="D258" s="37" t="s">
        <v>46</v>
      </c>
      <c r="E258" s="41">
        <f t="shared" si="0"/>
        <v>486</v>
      </c>
      <c r="F258" s="35" t="s">
        <v>59</v>
      </c>
      <c r="G258" s="42"/>
      <c r="H258" s="146" t="s">
        <v>564</v>
      </c>
      <c r="I258" s="42" t="s">
        <v>431</v>
      </c>
      <c r="J258" s="42" t="s">
        <v>432</v>
      </c>
      <c r="K258" s="194" t="s">
        <v>600</v>
      </c>
      <c r="L258" s="36" t="s">
        <v>601</v>
      </c>
      <c r="M258" s="36" t="s">
        <v>13</v>
      </c>
      <c r="N258" s="36">
        <v>2000</v>
      </c>
      <c r="O258" s="36" t="s">
        <v>53</v>
      </c>
      <c r="P258" s="37" t="s">
        <v>435</v>
      </c>
      <c r="Q258" s="39"/>
    </row>
    <row r="259" spans="1:17" ht="13">
      <c r="A259" s="32"/>
      <c r="B259" s="40" t="s">
        <v>602</v>
      </c>
      <c r="C259" s="35" t="s">
        <v>568</v>
      </c>
      <c r="D259" s="37" t="s">
        <v>46</v>
      </c>
      <c r="E259" s="41">
        <f t="shared" si="0"/>
        <v>486</v>
      </c>
      <c r="F259" s="35" t="s">
        <v>59</v>
      </c>
      <c r="G259" s="42"/>
      <c r="H259" s="146" t="s">
        <v>569</v>
      </c>
      <c r="I259" s="42" t="s">
        <v>431</v>
      </c>
      <c r="J259" s="42" t="s">
        <v>432</v>
      </c>
      <c r="K259" s="194" t="s">
        <v>603</v>
      </c>
      <c r="L259" s="36" t="s">
        <v>604</v>
      </c>
      <c r="M259" s="36" t="s">
        <v>13</v>
      </c>
      <c r="N259" s="36">
        <v>2000</v>
      </c>
      <c r="O259" s="36" t="s">
        <v>53</v>
      </c>
      <c r="P259" s="37" t="s">
        <v>435</v>
      </c>
      <c r="Q259" s="39"/>
    </row>
    <row r="260" spans="1:17" ht="13">
      <c r="A260" s="32"/>
      <c r="B260" s="40" t="s">
        <v>605</v>
      </c>
      <c r="C260" s="35" t="s">
        <v>568</v>
      </c>
      <c r="D260" s="37" t="s">
        <v>46</v>
      </c>
      <c r="E260" s="41">
        <f t="shared" si="0"/>
        <v>486</v>
      </c>
      <c r="F260" s="35" t="s">
        <v>59</v>
      </c>
      <c r="G260" s="42"/>
      <c r="H260" s="146" t="s">
        <v>573</v>
      </c>
      <c r="I260" s="42" t="s">
        <v>431</v>
      </c>
      <c r="J260" s="42" t="s">
        <v>432</v>
      </c>
      <c r="K260" s="194" t="s">
        <v>606</v>
      </c>
      <c r="L260" s="36" t="s">
        <v>607</v>
      </c>
      <c r="M260" s="36" t="s">
        <v>13</v>
      </c>
      <c r="N260" s="36">
        <v>2000</v>
      </c>
      <c r="O260" s="36" t="s">
        <v>53</v>
      </c>
      <c r="P260" s="37" t="s">
        <v>435</v>
      </c>
      <c r="Q260" s="39"/>
    </row>
    <row r="261" spans="1:17" ht="13">
      <c r="A261" s="32"/>
      <c r="B261" s="40" t="s">
        <v>608</v>
      </c>
      <c r="C261" s="35" t="s">
        <v>568</v>
      </c>
      <c r="D261" s="37" t="s">
        <v>46</v>
      </c>
      <c r="E261" s="41">
        <f t="shared" si="0"/>
        <v>486</v>
      </c>
      <c r="F261" s="35" t="s">
        <v>59</v>
      </c>
      <c r="G261" s="42"/>
      <c r="H261" s="146" t="s">
        <v>577</v>
      </c>
      <c r="I261" s="42" t="s">
        <v>431</v>
      </c>
      <c r="J261" s="42" t="s">
        <v>432</v>
      </c>
      <c r="K261" s="194" t="s">
        <v>609</v>
      </c>
      <c r="L261" s="36" t="s">
        <v>610</v>
      </c>
      <c r="M261" s="36" t="s">
        <v>13</v>
      </c>
      <c r="N261" s="36">
        <v>2000</v>
      </c>
      <c r="O261" s="36" t="s">
        <v>53</v>
      </c>
      <c r="P261" s="37" t="s">
        <v>435</v>
      </c>
      <c r="Q261" s="39"/>
    </row>
    <row r="262" spans="1:17" ht="13">
      <c r="A262" s="32"/>
      <c r="B262" s="40" t="s">
        <v>611</v>
      </c>
      <c r="C262" s="35" t="s">
        <v>429</v>
      </c>
      <c r="D262" s="42" t="s">
        <v>46</v>
      </c>
      <c r="E262" s="41">
        <f t="shared" si="0"/>
        <v>486</v>
      </c>
      <c r="F262" s="35" t="s">
        <v>59</v>
      </c>
      <c r="G262" s="42"/>
      <c r="H262" s="146" t="s">
        <v>581</v>
      </c>
      <c r="I262" s="42" t="s">
        <v>431</v>
      </c>
      <c r="J262" s="42" t="s">
        <v>432</v>
      </c>
      <c r="K262" s="194" t="s">
        <v>612</v>
      </c>
      <c r="L262" s="36" t="s">
        <v>613</v>
      </c>
      <c r="M262" s="36" t="s">
        <v>13</v>
      </c>
      <c r="N262" s="36">
        <v>2000</v>
      </c>
      <c r="O262" s="36" t="s">
        <v>53</v>
      </c>
      <c r="P262" s="37" t="s">
        <v>435</v>
      </c>
      <c r="Q262" s="39"/>
    </row>
    <row r="263" spans="1:17" ht="13">
      <c r="A263" s="32"/>
      <c r="B263" s="40" t="s">
        <v>614</v>
      </c>
      <c r="C263" s="35" t="s">
        <v>429</v>
      </c>
      <c r="D263" s="37" t="s">
        <v>46</v>
      </c>
      <c r="E263" s="41">
        <f t="shared" si="0"/>
        <v>486</v>
      </c>
      <c r="F263" s="35" t="s">
        <v>59</v>
      </c>
      <c r="G263" s="42"/>
      <c r="H263" s="146" t="s">
        <v>510</v>
      </c>
      <c r="I263" s="42" t="s">
        <v>431</v>
      </c>
      <c r="J263" s="42" t="s">
        <v>432</v>
      </c>
      <c r="K263" s="194" t="s">
        <v>615</v>
      </c>
      <c r="L263" s="36" t="s">
        <v>616</v>
      </c>
      <c r="M263" s="36" t="s">
        <v>13</v>
      </c>
      <c r="N263" s="36">
        <v>2000</v>
      </c>
      <c r="O263" s="36" t="s">
        <v>53</v>
      </c>
      <c r="P263" s="37" t="s">
        <v>435</v>
      </c>
      <c r="Q263" s="39"/>
    </row>
    <row r="264" spans="1:17" ht="13">
      <c r="A264" s="32"/>
      <c r="B264" s="40" t="s">
        <v>617</v>
      </c>
      <c r="C264" s="35" t="s">
        <v>429</v>
      </c>
      <c r="D264" s="37" t="s">
        <v>46</v>
      </c>
      <c r="E264" s="41">
        <f t="shared" si="0"/>
        <v>486</v>
      </c>
      <c r="F264" s="35" t="s">
        <v>59</v>
      </c>
      <c r="G264" s="42"/>
      <c r="H264" s="146" t="s">
        <v>514</v>
      </c>
      <c r="I264" s="42" t="s">
        <v>431</v>
      </c>
      <c r="J264" s="42" t="s">
        <v>432</v>
      </c>
      <c r="K264" s="194" t="s">
        <v>618</v>
      </c>
      <c r="L264" s="36" t="s">
        <v>619</v>
      </c>
      <c r="M264" s="36" t="s">
        <v>13</v>
      </c>
      <c r="N264" s="36">
        <v>2000</v>
      </c>
      <c r="O264" s="36" t="s">
        <v>53</v>
      </c>
      <c r="P264" s="37" t="s">
        <v>435</v>
      </c>
      <c r="Q264" s="39"/>
    </row>
    <row r="265" spans="1:17" ht="13">
      <c r="A265" s="32"/>
      <c r="B265" s="40" t="s">
        <v>620</v>
      </c>
      <c r="C265" s="35" t="s">
        <v>568</v>
      </c>
      <c r="D265" s="37" t="s">
        <v>46</v>
      </c>
      <c r="E265" s="41">
        <f t="shared" si="0"/>
        <v>486</v>
      </c>
      <c r="F265" s="35" t="s">
        <v>59</v>
      </c>
      <c r="G265" s="42"/>
      <c r="H265" s="146" t="s">
        <v>477</v>
      </c>
      <c r="I265" s="42" t="s">
        <v>431</v>
      </c>
      <c r="J265" s="42" t="s">
        <v>432</v>
      </c>
      <c r="K265" s="194" t="s">
        <v>621</v>
      </c>
      <c r="L265" s="36" t="s">
        <v>622</v>
      </c>
      <c r="M265" s="36" t="s">
        <v>13</v>
      </c>
      <c r="N265" s="36">
        <v>2000</v>
      </c>
      <c r="O265" s="36" t="s">
        <v>53</v>
      </c>
      <c r="P265" s="37" t="s">
        <v>435</v>
      </c>
      <c r="Q265" s="39"/>
    </row>
    <row r="266" spans="1:17" ht="13">
      <c r="A266" s="32"/>
      <c r="B266" s="40" t="s">
        <v>623</v>
      </c>
      <c r="C266" s="35" t="s">
        <v>429</v>
      </c>
      <c r="D266" s="37" t="s">
        <v>46</v>
      </c>
      <c r="E266" s="41">
        <f t="shared" si="0"/>
        <v>486</v>
      </c>
      <c r="F266" s="35" t="s">
        <v>59</v>
      </c>
      <c r="G266" s="42"/>
      <c r="H266" s="146" t="s">
        <v>430</v>
      </c>
      <c r="I266" s="42" t="s">
        <v>431</v>
      </c>
      <c r="J266" s="42" t="s">
        <v>432</v>
      </c>
      <c r="K266" s="194" t="s">
        <v>624</v>
      </c>
      <c r="L266" s="36" t="s">
        <v>625</v>
      </c>
      <c r="M266" s="36" t="s">
        <v>13</v>
      </c>
      <c r="N266" s="36">
        <v>2000</v>
      </c>
      <c r="O266" s="36" t="s">
        <v>53</v>
      </c>
      <c r="P266" s="37" t="s">
        <v>435</v>
      </c>
      <c r="Q266" s="39"/>
    </row>
    <row r="267" spans="1:17" ht="13">
      <c r="A267" s="32"/>
      <c r="B267" s="40" t="s">
        <v>626</v>
      </c>
      <c r="C267" s="35" t="s">
        <v>429</v>
      </c>
      <c r="D267" s="42" t="s">
        <v>46</v>
      </c>
      <c r="E267" s="41">
        <f t="shared" si="0"/>
        <v>486</v>
      </c>
      <c r="F267" s="35" t="s">
        <v>59</v>
      </c>
      <c r="G267" s="42"/>
      <c r="H267" s="146" t="s">
        <v>560</v>
      </c>
      <c r="I267" s="42" t="s">
        <v>431</v>
      </c>
      <c r="J267" s="42" t="s">
        <v>432</v>
      </c>
      <c r="K267" s="194" t="s">
        <v>627</v>
      </c>
      <c r="L267" s="36" t="s">
        <v>628</v>
      </c>
      <c r="M267" s="36" t="s">
        <v>13</v>
      </c>
      <c r="N267" s="36">
        <v>2000</v>
      </c>
      <c r="O267" s="36" t="s">
        <v>53</v>
      </c>
      <c r="P267" s="37" t="s">
        <v>435</v>
      </c>
      <c r="Q267" s="39"/>
    </row>
    <row r="268" spans="1:17" ht="13">
      <c r="A268" s="32"/>
      <c r="B268" s="40" t="s">
        <v>629</v>
      </c>
      <c r="C268" s="35" t="s">
        <v>568</v>
      </c>
      <c r="D268" s="42" t="s">
        <v>46</v>
      </c>
      <c r="E268" s="41">
        <f t="shared" si="0"/>
        <v>486</v>
      </c>
      <c r="F268" s="35" t="s">
        <v>59</v>
      </c>
      <c r="G268" s="42"/>
      <c r="H268" s="146" t="s">
        <v>564</v>
      </c>
      <c r="I268" s="42" t="s">
        <v>431</v>
      </c>
      <c r="J268" s="42" t="s">
        <v>432</v>
      </c>
      <c r="K268" s="194" t="s">
        <v>630</v>
      </c>
      <c r="L268" s="36" t="s">
        <v>631</v>
      </c>
      <c r="M268" s="36" t="s">
        <v>13</v>
      </c>
      <c r="N268" s="36">
        <v>2000</v>
      </c>
      <c r="O268" s="36" t="s">
        <v>53</v>
      </c>
      <c r="P268" s="37" t="s">
        <v>435</v>
      </c>
      <c r="Q268" s="39"/>
    </row>
    <row r="269" spans="1:17" ht="13">
      <c r="A269" s="32"/>
      <c r="B269" s="40" t="s">
        <v>632</v>
      </c>
      <c r="C269" s="35" t="s">
        <v>547</v>
      </c>
      <c r="D269" s="42" t="s">
        <v>46</v>
      </c>
      <c r="E269" s="41">
        <f t="shared" si="0"/>
        <v>486</v>
      </c>
      <c r="F269" s="35" t="s">
        <v>59</v>
      </c>
      <c r="G269" s="42"/>
      <c r="H269" s="146" t="s">
        <v>569</v>
      </c>
      <c r="I269" s="42" t="s">
        <v>431</v>
      </c>
      <c r="J269" s="42" t="s">
        <v>432</v>
      </c>
      <c r="K269" s="194" t="s">
        <v>633</v>
      </c>
      <c r="L269" s="36" t="s">
        <v>634</v>
      </c>
      <c r="M269" s="36" t="s">
        <v>13</v>
      </c>
      <c r="N269" s="36">
        <v>2000</v>
      </c>
      <c r="O269" s="36" t="s">
        <v>53</v>
      </c>
      <c r="P269" s="37" t="s">
        <v>435</v>
      </c>
      <c r="Q269" s="39"/>
    </row>
    <row r="270" spans="1:17" ht="13">
      <c r="A270" s="32"/>
      <c r="B270" s="40" t="s">
        <v>635</v>
      </c>
      <c r="C270" s="35" t="s">
        <v>568</v>
      </c>
      <c r="D270" s="42" t="s">
        <v>46</v>
      </c>
      <c r="E270" s="41">
        <f t="shared" si="0"/>
        <v>486</v>
      </c>
      <c r="F270" s="35" t="s">
        <v>59</v>
      </c>
      <c r="G270" s="42"/>
      <c r="H270" s="146" t="s">
        <v>573</v>
      </c>
      <c r="I270" s="42" t="s">
        <v>431</v>
      </c>
      <c r="J270" s="42" t="s">
        <v>432</v>
      </c>
      <c r="K270" s="194" t="s">
        <v>636</v>
      </c>
      <c r="L270" s="36" t="s">
        <v>637</v>
      </c>
      <c r="M270" s="36" t="s">
        <v>13</v>
      </c>
      <c r="N270" s="36">
        <v>2000</v>
      </c>
      <c r="O270" s="36" t="s">
        <v>53</v>
      </c>
      <c r="P270" s="37" t="s">
        <v>435</v>
      </c>
      <c r="Q270" s="39"/>
    </row>
    <row r="271" spans="1:17" ht="13">
      <c r="A271" s="32"/>
      <c r="B271" s="40" t="s">
        <v>638</v>
      </c>
      <c r="C271" s="35" t="s">
        <v>429</v>
      </c>
      <c r="D271" s="42" t="s">
        <v>46</v>
      </c>
      <c r="E271" s="41">
        <f t="shared" si="0"/>
        <v>486</v>
      </c>
      <c r="F271" s="35" t="s">
        <v>59</v>
      </c>
      <c r="G271" s="42"/>
      <c r="H271" s="146" t="s">
        <v>577</v>
      </c>
      <c r="I271" s="42" t="s">
        <v>431</v>
      </c>
      <c r="J271" s="42" t="s">
        <v>432</v>
      </c>
      <c r="K271" s="194" t="s">
        <v>639</v>
      </c>
      <c r="L271" s="36" t="s">
        <v>640</v>
      </c>
      <c r="M271" s="36" t="s">
        <v>13</v>
      </c>
      <c r="N271" s="36">
        <v>2000</v>
      </c>
      <c r="O271" s="36" t="s">
        <v>53</v>
      </c>
      <c r="P271" s="37" t="s">
        <v>435</v>
      </c>
      <c r="Q271" s="39"/>
    </row>
    <row r="272" spans="1:17" ht="13">
      <c r="A272" s="32"/>
      <c r="B272" s="40" t="s">
        <v>641</v>
      </c>
      <c r="C272" s="35" t="s">
        <v>429</v>
      </c>
      <c r="D272" s="42" t="s">
        <v>46</v>
      </c>
      <c r="E272" s="41">
        <f t="shared" si="0"/>
        <v>486</v>
      </c>
      <c r="F272" s="35" t="s">
        <v>59</v>
      </c>
      <c r="G272" s="42"/>
      <c r="H272" s="146" t="s">
        <v>581</v>
      </c>
      <c r="I272" s="42" t="s">
        <v>431</v>
      </c>
      <c r="J272" s="42" t="s">
        <v>432</v>
      </c>
      <c r="K272" s="194" t="s">
        <v>642</v>
      </c>
      <c r="L272" s="36" t="s">
        <v>643</v>
      </c>
      <c r="M272" s="36" t="s">
        <v>13</v>
      </c>
      <c r="N272" s="36">
        <v>2000</v>
      </c>
      <c r="O272" s="36" t="s">
        <v>53</v>
      </c>
      <c r="P272" s="37" t="s">
        <v>435</v>
      </c>
      <c r="Q272" s="39"/>
    </row>
    <row r="273" spans="1:17" ht="13">
      <c r="A273" s="32"/>
      <c r="B273" s="40" t="s">
        <v>644</v>
      </c>
      <c r="C273" s="35" t="s">
        <v>429</v>
      </c>
      <c r="D273" s="42" t="s">
        <v>46</v>
      </c>
      <c r="E273" s="41">
        <f t="shared" si="0"/>
        <v>486</v>
      </c>
      <c r="F273" s="35" t="s">
        <v>59</v>
      </c>
      <c r="G273" s="42"/>
      <c r="H273" s="146" t="s">
        <v>510</v>
      </c>
      <c r="I273" s="42" t="s">
        <v>431</v>
      </c>
      <c r="J273" s="42" t="s">
        <v>432</v>
      </c>
      <c r="K273" s="194" t="s">
        <v>645</v>
      </c>
      <c r="L273" s="36" t="s">
        <v>646</v>
      </c>
      <c r="M273" s="36" t="s">
        <v>13</v>
      </c>
      <c r="N273" s="36">
        <v>2000</v>
      </c>
      <c r="O273" s="36" t="s">
        <v>53</v>
      </c>
      <c r="P273" s="37" t="s">
        <v>435</v>
      </c>
      <c r="Q273" s="39"/>
    </row>
    <row r="274" spans="1:17" ht="13">
      <c r="A274" s="32"/>
      <c r="B274" s="40" t="s">
        <v>647</v>
      </c>
      <c r="C274" s="35" t="s">
        <v>429</v>
      </c>
      <c r="D274" s="42" t="s">
        <v>46</v>
      </c>
      <c r="E274" s="41">
        <f t="shared" si="0"/>
        <v>486</v>
      </c>
      <c r="F274" s="35" t="s">
        <v>59</v>
      </c>
      <c r="G274" s="42"/>
      <c r="H274" s="146" t="s">
        <v>514</v>
      </c>
      <c r="I274" s="42" t="s">
        <v>431</v>
      </c>
      <c r="J274" s="42" t="s">
        <v>432</v>
      </c>
      <c r="K274" s="194" t="s">
        <v>648</v>
      </c>
      <c r="L274" s="36" t="s">
        <v>649</v>
      </c>
      <c r="M274" s="36" t="s">
        <v>13</v>
      </c>
      <c r="N274" s="36">
        <v>2000</v>
      </c>
      <c r="O274" s="36" t="s">
        <v>53</v>
      </c>
      <c r="P274" s="37" t="s">
        <v>435</v>
      </c>
      <c r="Q274" s="39"/>
    </row>
    <row r="275" spans="1:17" ht="13">
      <c r="A275" s="32"/>
      <c r="B275" s="40" t="s">
        <v>650</v>
      </c>
      <c r="C275" s="35" t="s">
        <v>429</v>
      </c>
      <c r="D275" s="42" t="s">
        <v>46</v>
      </c>
      <c r="E275" s="41">
        <f t="shared" si="0"/>
        <v>486</v>
      </c>
      <c r="F275" s="35" t="s">
        <v>59</v>
      </c>
      <c r="G275" s="42"/>
      <c r="H275" s="146" t="s">
        <v>560</v>
      </c>
      <c r="I275" s="42" t="s">
        <v>431</v>
      </c>
      <c r="J275" s="42" t="s">
        <v>432</v>
      </c>
      <c r="K275" s="194" t="s">
        <v>651</v>
      </c>
      <c r="L275" s="36" t="s">
        <v>652</v>
      </c>
      <c r="M275" s="36" t="s">
        <v>13</v>
      </c>
      <c r="N275" s="36">
        <v>2000</v>
      </c>
      <c r="O275" s="36" t="s">
        <v>53</v>
      </c>
      <c r="P275" s="37" t="s">
        <v>435</v>
      </c>
      <c r="Q275" s="39"/>
    </row>
    <row r="276" spans="1:17" ht="13">
      <c r="A276" s="32"/>
      <c r="B276" s="40" t="s">
        <v>653</v>
      </c>
      <c r="C276" s="35" t="s">
        <v>429</v>
      </c>
      <c r="D276" s="42" t="s">
        <v>46</v>
      </c>
      <c r="E276" s="41">
        <f t="shared" si="0"/>
        <v>486</v>
      </c>
      <c r="F276" s="35" t="s">
        <v>59</v>
      </c>
      <c r="G276" s="42"/>
      <c r="H276" s="146" t="s">
        <v>564</v>
      </c>
      <c r="I276" s="42" t="s">
        <v>431</v>
      </c>
      <c r="J276" s="42" t="s">
        <v>432</v>
      </c>
      <c r="K276" s="194" t="s">
        <v>654</v>
      </c>
      <c r="L276" s="36" t="s">
        <v>655</v>
      </c>
      <c r="M276" s="36" t="s">
        <v>13</v>
      </c>
      <c r="N276" s="36">
        <v>2000</v>
      </c>
      <c r="O276" s="36" t="s">
        <v>53</v>
      </c>
      <c r="P276" s="37" t="s">
        <v>435</v>
      </c>
      <c r="Q276" s="39"/>
    </row>
    <row r="277" spans="1:17" ht="13">
      <c r="A277" s="32"/>
      <c r="B277" s="40" t="s">
        <v>656</v>
      </c>
      <c r="C277" s="35" t="s">
        <v>429</v>
      </c>
      <c r="D277" s="42" t="s">
        <v>46</v>
      </c>
      <c r="E277" s="41">
        <f t="shared" si="0"/>
        <v>486</v>
      </c>
      <c r="F277" s="35" t="s">
        <v>59</v>
      </c>
      <c r="G277" s="42"/>
      <c r="H277" s="146" t="s">
        <v>569</v>
      </c>
      <c r="I277" s="42" t="s">
        <v>431</v>
      </c>
      <c r="J277" s="42" t="s">
        <v>432</v>
      </c>
      <c r="K277" s="194" t="s">
        <v>657</v>
      </c>
      <c r="L277" s="36" t="s">
        <v>658</v>
      </c>
      <c r="M277" s="36" t="s">
        <v>13</v>
      </c>
      <c r="N277" s="36">
        <v>2000</v>
      </c>
      <c r="O277" s="36" t="s">
        <v>53</v>
      </c>
      <c r="P277" s="37" t="s">
        <v>435</v>
      </c>
      <c r="Q277" s="39"/>
    </row>
    <row r="278" spans="1:17" ht="13">
      <c r="A278" s="32"/>
      <c r="B278" s="40" t="s">
        <v>659</v>
      </c>
      <c r="C278" s="35" t="s">
        <v>429</v>
      </c>
      <c r="D278" s="42" t="s">
        <v>46</v>
      </c>
      <c r="E278" s="41">
        <f t="shared" si="0"/>
        <v>486</v>
      </c>
      <c r="F278" s="35" t="s">
        <v>59</v>
      </c>
      <c r="G278" s="42"/>
      <c r="H278" s="146" t="s">
        <v>573</v>
      </c>
      <c r="I278" s="42" t="s">
        <v>431</v>
      </c>
      <c r="J278" s="42" t="s">
        <v>432</v>
      </c>
      <c r="K278" s="194" t="s">
        <v>660</v>
      </c>
      <c r="L278" s="36" t="s">
        <v>661</v>
      </c>
      <c r="M278" s="36" t="s">
        <v>13</v>
      </c>
      <c r="N278" s="36">
        <v>2000</v>
      </c>
      <c r="O278" s="36" t="s">
        <v>53</v>
      </c>
      <c r="P278" s="37" t="s">
        <v>435</v>
      </c>
      <c r="Q278" s="39"/>
    </row>
    <row r="279" spans="1:17" ht="13">
      <c r="A279" s="32"/>
      <c r="B279" s="40" t="s">
        <v>662</v>
      </c>
      <c r="C279" s="35" t="s">
        <v>429</v>
      </c>
      <c r="D279" s="42" t="s">
        <v>46</v>
      </c>
      <c r="E279" s="41">
        <f t="shared" si="0"/>
        <v>486</v>
      </c>
      <c r="F279" s="35" t="s">
        <v>59</v>
      </c>
      <c r="G279" s="42"/>
      <c r="H279" s="146" t="s">
        <v>577</v>
      </c>
      <c r="I279" s="42" t="s">
        <v>431</v>
      </c>
      <c r="J279" s="42" t="s">
        <v>432</v>
      </c>
      <c r="K279" s="194" t="s">
        <v>663</v>
      </c>
      <c r="L279" s="36" t="s">
        <v>664</v>
      </c>
      <c r="M279" s="36" t="s">
        <v>13</v>
      </c>
      <c r="N279" s="36">
        <v>2000</v>
      </c>
      <c r="O279" s="36" t="s">
        <v>53</v>
      </c>
      <c r="P279" s="37" t="s">
        <v>435</v>
      </c>
      <c r="Q279" s="39"/>
    </row>
    <row r="280" spans="1:17" ht="13">
      <c r="A280" s="32"/>
      <c r="B280" s="40" t="s">
        <v>665</v>
      </c>
      <c r="C280" s="35" t="s">
        <v>429</v>
      </c>
      <c r="D280" s="42" t="s">
        <v>46</v>
      </c>
      <c r="E280" s="41">
        <f t="shared" si="0"/>
        <v>486</v>
      </c>
      <c r="F280" s="35" t="s">
        <v>59</v>
      </c>
      <c r="G280" s="42"/>
      <c r="H280" s="146" t="s">
        <v>581</v>
      </c>
      <c r="I280" s="42" t="s">
        <v>431</v>
      </c>
      <c r="J280" s="42" t="s">
        <v>432</v>
      </c>
      <c r="K280" s="194" t="s">
        <v>666</v>
      </c>
      <c r="L280" s="36" t="s">
        <v>667</v>
      </c>
      <c r="M280" s="36" t="s">
        <v>13</v>
      </c>
      <c r="N280" s="36">
        <v>2000</v>
      </c>
      <c r="O280" s="36" t="s">
        <v>53</v>
      </c>
      <c r="P280" s="37" t="s">
        <v>435</v>
      </c>
      <c r="Q280" s="39"/>
    </row>
    <row r="281" spans="1:17" ht="13">
      <c r="A281" s="32"/>
      <c r="B281" s="40" t="s">
        <v>668</v>
      </c>
      <c r="C281" s="35" t="s">
        <v>429</v>
      </c>
      <c r="D281" s="42" t="s">
        <v>46</v>
      </c>
      <c r="E281" s="41">
        <f t="shared" si="0"/>
        <v>486</v>
      </c>
      <c r="F281" s="35" t="s">
        <v>59</v>
      </c>
      <c r="G281" s="42"/>
      <c r="H281" s="146" t="s">
        <v>510</v>
      </c>
      <c r="I281" s="42" t="s">
        <v>431</v>
      </c>
      <c r="J281" s="42" t="s">
        <v>432</v>
      </c>
      <c r="K281" s="194" t="s">
        <v>669</v>
      </c>
      <c r="L281" s="36" t="s">
        <v>670</v>
      </c>
      <c r="M281" s="36" t="s">
        <v>13</v>
      </c>
      <c r="N281" s="36">
        <v>2000</v>
      </c>
      <c r="O281" s="36" t="s">
        <v>53</v>
      </c>
      <c r="P281" s="37" t="s">
        <v>435</v>
      </c>
      <c r="Q281" s="39"/>
    </row>
    <row r="282" spans="1:17" ht="13">
      <c r="A282" s="32"/>
      <c r="B282" s="40" t="s">
        <v>671</v>
      </c>
      <c r="C282" s="35" t="s">
        <v>429</v>
      </c>
      <c r="D282" s="42" t="s">
        <v>46</v>
      </c>
      <c r="E282" s="41">
        <f t="shared" si="0"/>
        <v>486</v>
      </c>
      <c r="F282" s="35" t="s">
        <v>59</v>
      </c>
      <c r="G282" s="42"/>
      <c r="H282" s="146" t="s">
        <v>514</v>
      </c>
      <c r="I282" s="42" t="s">
        <v>431</v>
      </c>
      <c r="J282" s="42" t="s">
        <v>432</v>
      </c>
      <c r="K282" s="194" t="s">
        <v>672</v>
      </c>
      <c r="L282" s="36" t="s">
        <v>673</v>
      </c>
      <c r="M282" s="36" t="s">
        <v>13</v>
      </c>
      <c r="N282" s="36">
        <v>2000</v>
      </c>
      <c r="O282" s="36" t="s">
        <v>53</v>
      </c>
      <c r="P282" s="37" t="s">
        <v>435</v>
      </c>
      <c r="Q282" s="39"/>
    </row>
    <row r="283" spans="1:17" ht="13">
      <c r="A283" s="32"/>
      <c r="B283" s="40" t="s">
        <v>674</v>
      </c>
      <c r="C283" s="36" t="s">
        <v>429</v>
      </c>
      <c r="D283" s="37" t="s">
        <v>46</v>
      </c>
      <c r="E283" s="41">
        <f t="shared" si="0"/>
        <v>486</v>
      </c>
      <c r="F283" s="35" t="s">
        <v>59</v>
      </c>
      <c r="G283" s="42"/>
      <c r="H283" s="146" t="s">
        <v>560</v>
      </c>
      <c r="I283" s="42" t="s">
        <v>431</v>
      </c>
      <c r="J283" s="42" t="s">
        <v>432</v>
      </c>
      <c r="K283" s="194" t="s">
        <v>675</v>
      </c>
      <c r="L283" s="36" t="s">
        <v>676</v>
      </c>
      <c r="M283" s="36" t="s">
        <v>13</v>
      </c>
      <c r="N283" s="36">
        <v>2000</v>
      </c>
      <c r="O283" s="36" t="s">
        <v>53</v>
      </c>
      <c r="P283" s="37" t="s">
        <v>435</v>
      </c>
      <c r="Q283" s="39"/>
    </row>
    <row r="284" spans="1:17" ht="13">
      <c r="A284" s="32"/>
      <c r="B284" s="40" t="s">
        <v>677</v>
      </c>
      <c r="C284" s="36" t="s">
        <v>429</v>
      </c>
      <c r="D284" s="37" t="s">
        <v>46</v>
      </c>
      <c r="E284" s="41">
        <f t="shared" si="0"/>
        <v>486</v>
      </c>
      <c r="F284" s="35" t="s">
        <v>59</v>
      </c>
      <c r="G284" s="42"/>
      <c r="H284" s="146" t="s">
        <v>564</v>
      </c>
      <c r="I284" s="42" t="s">
        <v>431</v>
      </c>
      <c r="J284" s="42" t="s">
        <v>432</v>
      </c>
      <c r="K284" s="194" t="s">
        <v>678</v>
      </c>
      <c r="L284" s="36" t="s">
        <v>679</v>
      </c>
      <c r="M284" s="36" t="s">
        <v>13</v>
      </c>
      <c r="N284" s="36">
        <v>2000</v>
      </c>
      <c r="O284" s="36" t="s">
        <v>53</v>
      </c>
      <c r="P284" s="37" t="s">
        <v>435</v>
      </c>
      <c r="Q284" s="39"/>
    </row>
    <row r="285" spans="1:17" ht="13">
      <c r="A285" s="32"/>
      <c r="B285" s="40" t="s">
        <v>680</v>
      </c>
      <c r="C285" s="36" t="s">
        <v>429</v>
      </c>
      <c r="D285" s="37" t="s">
        <v>46</v>
      </c>
      <c r="E285" s="41">
        <f t="shared" si="0"/>
        <v>486</v>
      </c>
      <c r="F285" s="35" t="s">
        <v>59</v>
      </c>
      <c r="G285" s="42"/>
      <c r="H285" s="146" t="s">
        <v>569</v>
      </c>
      <c r="I285" s="42" t="s">
        <v>431</v>
      </c>
      <c r="J285" s="42" t="s">
        <v>432</v>
      </c>
      <c r="K285" s="194" t="s">
        <v>681</v>
      </c>
      <c r="L285" s="36" t="s">
        <v>682</v>
      </c>
      <c r="M285" s="36" t="s">
        <v>13</v>
      </c>
      <c r="N285" s="36">
        <v>2000</v>
      </c>
      <c r="O285" s="36" t="s">
        <v>53</v>
      </c>
      <c r="P285" s="37" t="s">
        <v>435</v>
      </c>
      <c r="Q285" s="39"/>
    </row>
    <row r="286" spans="1:17" ht="13">
      <c r="A286" s="32"/>
      <c r="B286" s="40" t="s">
        <v>683</v>
      </c>
      <c r="C286" s="36" t="s">
        <v>429</v>
      </c>
      <c r="D286" s="47" t="s">
        <v>46</v>
      </c>
      <c r="E286" s="41">
        <f t="shared" si="0"/>
        <v>486</v>
      </c>
      <c r="F286" s="35" t="s">
        <v>59</v>
      </c>
      <c r="G286" s="47"/>
      <c r="H286" s="147" t="s">
        <v>573</v>
      </c>
      <c r="I286" s="42" t="s">
        <v>431</v>
      </c>
      <c r="J286" s="47" t="s">
        <v>432</v>
      </c>
      <c r="K286" s="194" t="s">
        <v>684</v>
      </c>
      <c r="L286" s="46" t="s">
        <v>685</v>
      </c>
      <c r="M286" s="36" t="s">
        <v>13</v>
      </c>
      <c r="N286" s="36">
        <v>2000</v>
      </c>
      <c r="O286" s="36" t="s">
        <v>53</v>
      </c>
      <c r="P286" s="37" t="s">
        <v>435</v>
      </c>
      <c r="Q286" s="39"/>
    </row>
    <row r="287" spans="1:17" ht="13">
      <c r="A287" s="32"/>
      <c r="B287" s="40" t="s">
        <v>686</v>
      </c>
      <c r="C287" s="36" t="s">
        <v>429</v>
      </c>
      <c r="D287" s="42" t="s">
        <v>46</v>
      </c>
      <c r="E287" s="41">
        <f t="shared" si="0"/>
        <v>486</v>
      </c>
      <c r="F287" s="35" t="s">
        <v>59</v>
      </c>
      <c r="G287" s="42"/>
      <c r="H287" s="146" t="s">
        <v>577</v>
      </c>
      <c r="I287" s="42" t="s">
        <v>431</v>
      </c>
      <c r="J287" s="42" t="s">
        <v>432</v>
      </c>
      <c r="K287" s="194" t="s">
        <v>687</v>
      </c>
      <c r="L287" s="36" t="s">
        <v>688</v>
      </c>
      <c r="M287" s="36" t="s">
        <v>13</v>
      </c>
      <c r="N287" s="36">
        <v>2000</v>
      </c>
      <c r="O287" s="36" t="s">
        <v>53</v>
      </c>
      <c r="P287" s="37" t="s">
        <v>435</v>
      </c>
      <c r="Q287" s="39"/>
    </row>
    <row r="288" spans="1:17" ht="13">
      <c r="A288" s="32"/>
      <c r="B288" s="40" t="s">
        <v>689</v>
      </c>
      <c r="C288" s="204" t="s">
        <v>568</v>
      </c>
      <c r="D288" s="187" t="s">
        <v>46</v>
      </c>
      <c r="E288" s="204">
        <f t="shared" si="0"/>
        <v>486</v>
      </c>
      <c r="F288" s="190" t="s">
        <v>59</v>
      </c>
      <c r="G288" s="206"/>
      <c r="H288" s="42" t="s">
        <v>581</v>
      </c>
      <c r="I288" s="42" t="s">
        <v>431</v>
      </c>
      <c r="J288" s="42" t="s">
        <v>432</v>
      </c>
      <c r="K288" s="194" t="s">
        <v>690</v>
      </c>
      <c r="L288" s="36">
        <v>82212836977</v>
      </c>
      <c r="M288" s="36" t="s">
        <v>691</v>
      </c>
      <c r="N288" s="36">
        <v>2500</v>
      </c>
      <c r="O288" s="36" t="s">
        <v>53</v>
      </c>
      <c r="P288" s="37" t="s">
        <v>435</v>
      </c>
      <c r="Q288" s="39"/>
    </row>
    <row r="289" spans="1:17" ht="13">
      <c r="A289" s="45"/>
      <c r="B289" s="50"/>
      <c r="C289" s="51"/>
      <c r="D289" s="51" t="s">
        <v>692</v>
      </c>
      <c r="E289" s="52">
        <f>SUM(E4:E288)</f>
        <v>57476</v>
      </c>
      <c r="F289" s="53"/>
      <c r="G289" s="53"/>
      <c r="H289" s="54"/>
      <c r="I289" s="54"/>
      <c r="J289" s="54"/>
      <c r="K289" s="196"/>
      <c r="L289" s="55"/>
      <c r="M289" s="55"/>
      <c r="N289" s="55"/>
      <c r="O289" s="55"/>
      <c r="P289" s="54"/>
      <c r="Q289" s="175"/>
    </row>
  </sheetData>
  <protectedRanges>
    <protectedRange algorithmName="SHA-512" hashValue="fruy1Soch7btd5hv5VxBymmHmFgBASyPoejf4RZD7afKz44XHFLMSK/nuppgx49mH5Iv7kK17hI5SexNNNFMdg==" saltValue="eSFlGw4AZo1wSfF7hMHyOg==" spinCount="100000" sqref="E4:E288" name="Miner Counts"/>
  </protectedRanges>
  <autoFilter ref="B1:Q289" xr:uid="{00000000-0001-0000-0200-000000000000}">
    <sortState xmlns:xlrd2="http://schemas.microsoft.com/office/spreadsheetml/2017/richdata2" ref="B2:Q289">
      <sortCondition ref="B1:B289"/>
    </sortState>
  </autoFilter>
  <customSheetViews>
    <customSheetView guid="{EF72BB40-145E-4645-B739-7257131D2031}" filter="1" showAutoFilter="1">
      <pageMargins left="0" right="0" top="0" bottom="0" header="0" footer="0"/>
      <autoFilter ref="B1:P165" xr:uid="{2B9D0A01-574D-4E9A-BC85-58BF733BE164}">
        <filterColumn colId="1">
          <filters blank="1">
            <filter val="Compass Mining"/>
            <filter val="Compass Mining (Bad HB)"/>
            <filter val="DCG Foundry"/>
            <filter val="Decimal / Integrated Ventures"/>
            <filter val="Integrated Ventures"/>
            <filter val="Marathon Digital Holdings, Inc"/>
            <filter val="Touzi Capital (Marathon)"/>
            <filter val="US Bitcoin Corp"/>
          </filters>
        </filterColumn>
      </autoFilter>
    </customSheetView>
    <customSheetView guid="{68EE7746-8321-4B14-B998-CC3C8EC8EE0C}" filter="1" showAutoFilter="1">
      <pageMargins left="0" right="0" top="0" bottom="0" header="0" footer="0"/>
      <autoFilter ref="A1:P165" xr:uid="{B9EC62D9-A1D5-4BFB-B3F3-88D91E06E808}"/>
    </customSheetView>
    <customSheetView guid="{1FECDD82-8E86-4DC0-9000-63979D69D89A}" filter="1" showAutoFilter="1">
      <pageMargins left="0" right="0" top="0" bottom="0" header="0" footer="0"/>
      <autoFilter ref="A1:P165" xr:uid="{EDE62067-86D5-4245-8BB2-C09AF14D23A5}"/>
    </customSheetView>
    <customSheetView guid="{C6CD0F54-4FBB-4B38-A6EF-25C5826366BC}" filter="1" showAutoFilter="1">
      <pageMargins left="0" right="0" top="0" bottom="0" header="0" footer="0"/>
      <autoFilter ref="B1:P165" xr:uid="{BCD925B4-08D5-428F-9CDC-EFC306B3700F}"/>
    </customSheetView>
    <customSheetView guid="{6F32043D-2763-4C1A-B31D-A5C779AAFDA0}" filter="1" showAutoFilter="1">
      <pageMargins left="0" right="0" top="0" bottom="0" header="0" footer="0"/>
      <autoFilter ref="C1:C167" xr:uid="{3152A547-EF63-4992-9609-9917CF5C9666}">
        <filterColumn colId="0">
          <filters>
            <filter val="Compass Mining"/>
            <filter val="Compass Mining (Bad HB)"/>
            <filter val="DCG Foundry"/>
            <filter val="Decimal / Integrated Ventures"/>
            <filter val="Integrated Ventures"/>
            <filter val="Marathon Digital Holdings, Inc"/>
            <filter val="Sphere 3D"/>
            <filter val="TOTAL"/>
            <filter val="Touzi Capital (Marathon)"/>
            <filter val="US Bitcoin Corp"/>
          </filters>
        </filterColumn>
      </autoFilter>
    </customSheetView>
  </customSheetViews>
  <phoneticPr fontId="21" type="noConversion"/>
  <conditionalFormatting sqref="B2:C4">
    <cfRule type="cellIs" dxfId="41" priority="20" operator="equal">
      <formula>#REF!="Energized"</formula>
    </cfRule>
    <cfRule type="expression" dxfId="40" priority="16">
      <formula>#REF!="Deployed"</formula>
    </cfRule>
    <cfRule type="expression" dxfId="39" priority="17">
      <formula>#REF!="Needs Repair"</formula>
    </cfRule>
    <cfRule type="expression" dxfId="38" priority="18">
      <formula>#REF!="Scheduled"</formula>
    </cfRule>
    <cfRule type="expression" dxfId="37" priority="19">
      <formula>#REF!="Offline"</formula>
    </cfRule>
  </conditionalFormatting>
  <conditionalFormatting sqref="B4:C4">
    <cfRule type="expression" dxfId="36" priority="11">
      <formula>$D4="Deployed"</formula>
    </cfRule>
    <cfRule type="expression" dxfId="35" priority="12">
      <formula>$D4="Needs Repair"</formula>
    </cfRule>
    <cfRule type="expression" dxfId="34" priority="13">
      <formula>$D4="Scheduled"</formula>
    </cfRule>
    <cfRule type="expression" dxfId="33" priority="14">
      <formula>$D4="Offline"</formula>
    </cfRule>
    <cfRule type="cellIs" dxfId="32" priority="15" operator="equal">
      <formula>$D4="Energized"</formula>
    </cfRule>
  </conditionalFormatting>
  <conditionalFormatting sqref="B2:Q3">
    <cfRule type="expression" dxfId="31" priority="2">
      <formula>$D2="Needs Repair"</formula>
    </cfRule>
    <cfRule type="expression" dxfId="30" priority="3">
      <formula>$D2="Scheduled"</formula>
    </cfRule>
    <cfRule type="expression" dxfId="29" priority="4">
      <formula>$D2="Offline"</formula>
    </cfRule>
    <cfRule type="cellIs" dxfId="28" priority="5" operator="equal">
      <formula>$D2="Energized"</formula>
    </cfRule>
    <cfRule type="expression" dxfId="27" priority="1">
      <formula>$D2="Deployed"</formula>
    </cfRule>
  </conditionalFormatting>
  <conditionalFormatting sqref="B5:Q288 D4:Q4">
    <cfRule type="expression" dxfId="26" priority="127">
      <formula>$D4="Deployed"</formula>
    </cfRule>
  </conditionalFormatting>
  <conditionalFormatting sqref="D50:D55">
    <cfRule type="expression" dxfId="25" priority="122">
      <formula>$D50="Deployed"</formula>
    </cfRule>
    <cfRule type="expression" dxfId="24" priority="123">
      <formula>$D50="Needs Repair"</formula>
    </cfRule>
    <cfRule type="expression" dxfId="23" priority="124">
      <formula>$D50="Scheduled"</formula>
    </cfRule>
    <cfRule type="expression" dxfId="22" priority="125">
      <formula>$D50="Offline"</formula>
    </cfRule>
    <cfRule type="cellIs" dxfId="21" priority="126" operator="equal">
      <formula>$D50="Energized"</formula>
    </cfRule>
  </conditionalFormatting>
  <conditionalFormatting sqref="D4:Q4 B5:Q288">
    <cfRule type="expression" dxfId="20" priority="128">
      <formula>$D4="Needs Repair"</formula>
    </cfRule>
    <cfRule type="expression" dxfId="19" priority="129">
      <formula>$D4="Scheduled"</formula>
    </cfRule>
    <cfRule type="expression" dxfId="18" priority="130">
      <formula>$D4="Offline"</formula>
    </cfRule>
    <cfRule type="cellIs" dxfId="17" priority="131" operator="equal">
      <formula>$D4="Energized"</formula>
    </cfRule>
  </conditionalFormatting>
  <conditionalFormatting sqref="E1:E288">
    <cfRule type="cellIs" dxfId="16" priority="137" operator="lessThan">
      <formula>0</formula>
    </cfRule>
    <cfRule type="cellIs" dxfId="15" priority="138" operator="equal">
      <formula>0</formula>
    </cfRule>
  </conditionalFormatting>
  <conditionalFormatting sqref="E1:E1048576">
    <cfRule type="cellIs" dxfId="14" priority="121" operator="equal">
      <formula>0</formula>
    </cfRule>
  </conditionalFormatting>
  <conditionalFormatting sqref="E2:Q3">
    <cfRule type="expression" dxfId="13" priority="6">
      <formula>#REF!="Deployed"</formula>
    </cfRule>
    <cfRule type="expression" dxfId="12" priority="7">
      <formula>#REF!="Needs Repair"</formula>
    </cfRule>
    <cfRule type="expression" dxfId="11" priority="8">
      <formula>#REF!="Scheduled"</formula>
    </cfRule>
    <cfRule type="expression" dxfId="10" priority="9">
      <formula>#REF!="Offline"</formula>
    </cfRule>
    <cfRule type="cellIs" dxfId="9" priority="10" operator="equal">
      <formula>#REF!="Energized"</formula>
    </cfRule>
  </conditionalFormatting>
  <conditionalFormatting sqref="E4:Q40 B5:C40 G36:G41 C36:C44 F36:F44 I36:I91 E38:E75 B41:Q288">
    <cfRule type="expression" dxfId="8" priority="145">
      <formula>#REF!="Needs Repair"</formula>
    </cfRule>
    <cfRule type="expression" dxfId="7" priority="146">
      <formula>#REF!="Scheduled"</formula>
    </cfRule>
    <cfRule type="expression" dxfId="6" priority="147">
      <formula>#REF!="Offline"</formula>
    </cfRule>
    <cfRule type="cellIs" dxfId="5" priority="148" operator="equal">
      <formula>#REF!="Energized"</formula>
    </cfRule>
  </conditionalFormatting>
  <conditionalFormatting sqref="E4:Q40 E38:E75 B41:Q288 B5:C40 G36:G41 C36:C44 F36:F44 I36:I91">
    <cfRule type="expression" dxfId="4" priority="144">
      <formula>#REF!="Deployed"</formula>
    </cfRule>
  </conditionalFormatting>
  <dataValidations count="1">
    <dataValidation type="list" allowBlank="1" sqref="D2:D288" xr:uid="{3AC7E901-3F0E-4555-8C0A-254DC1D66611}">
      <formula1>"Energized,Scheduled,Deployed,Offline,Needs Repair"</formula1>
    </dataValidation>
  </dataValidations>
  <printOptions horizontalCentered="1" gridLines="1"/>
  <pageMargins left="0.7" right="0.7" top="0.75" bottom="0.75" header="0" footer="0"/>
  <pageSetup scale="18" pageOrder="overThenDown" orientation="portrait" cellComments="atEn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756A-0CD0-4B51-B946-84638EC6FA2B}">
  <dimension ref="A1:Q512"/>
  <sheetViews>
    <sheetView tabSelected="1" zoomScaleNormal="100" workbookViewId="0">
      <pane ySplit="1" topLeftCell="A2" activePane="bottomLeft" state="frozen"/>
      <selection pane="bottomLeft" activeCell="H18" sqref="H18"/>
    </sheetView>
  </sheetViews>
  <sheetFormatPr defaultColWidth="9.453125" defaultRowHeight="12.75" customHeight="1"/>
  <cols>
    <col min="1" max="1" width="28.453125" style="117" customWidth="1"/>
    <col min="2" max="2" width="11.54296875" style="112" customWidth="1"/>
    <col min="3" max="3" width="15.453125" style="180" customWidth="1"/>
    <col min="4" max="6" width="13.54296875" style="112" customWidth="1"/>
    <col min="7" max="8" width="10.54296875" style="117" bestFit="1" customWidth="1"/>
    <col min="9" max="9" width="15.453125" style="117" customWidth="1"/>
    <col min="10" max="10" width="18.54296875" style="117" customWidth="1"/>
    <col min="11" max="17" width="12.54296875" style="117" bestFit="1" customWidth="1"/>
    <col min="18" max="16384" width="9.453125" style="117"/>
  </cols>
  <sheetData>
    <row r="1" spans="1:14" s="112" customFormat="1" ht="12.75" customHeight="1">
      <c r="A1" s="163" t="s">
        <v>29</v>
      </c>
      <c r="B1" s="164" t="s">
        <v>28</v>
      </c>
      <c r="C1" s="164" t="s">
        <v>693</v>
      </c>
      <c r="D1" s="164" t="s">
        <v>694</v>
      </c>
      <c r="E1" s="164" t="s">
        <v>695</v>
      </c>
      <c r="F1" s="164" t="s">
        <v>696</v>
      </c>
      <c r="G1" s="126"/>
    </row>
    <row r="2" spans="1:14" ht="12.75" customHeight="1">
      <c r="A2" s="117" t="str">
        <f>_xlfn.XLOOKUP(B2,Summary!B:B,Summary!C:C,"")</f>
        <v>Whatsminer M60S</v>
      </c>
      <c r="B2" s="112" t="s">
        <v>428</v>
      </c>
      <c r="C2" s="180" t="s">
        <v>697</v>
      </c>
      <c r="D2" s="112" t="s">
        <v>698</v>
      </c>
      <c r="E2" s="177" t="s">
        <v>699</v>
      </c>
      <c r="F2" s="177" t="s">
        <v>700</v>
      </c>
      <c r="G2" s="112"/>
      <c r="H2" s="112"/>
      <c r="I2" s="112" t="str">
        <f t="shared" ref="I2:I65" si="0">H2&amp;".0-255"</f>
        <v>.0-255</v>
      </c>
      <c r="K2" s="207"/>
    </row>
    <row r="3" spans="1:14" ht="12.75" customHeight="1">
      <c r="A3" s="117" t="str">
        <f>_xlfn.XLOOKUP(B3,Summary!B:B,Summary!C:C,"")</f>
        <v>Whatsminer M60S</v>
      </c>
      <c r="B3" s="112" t="s">
        <v>476</v>
      </c>
      <c r="C3" s="180" t="s">
        <v>701</v>
      </c>
      <c r="D3" s="112" t="s">
        <v>702</v>
      </c>
      <c r="E3" s="177" t="s">
        <v>703</v>
      </c>
      <c r="F3" s="177" t="s">
        <v>704</v>
      </c>
      <c r="G3" s="112"/>
      <c r="H3" s="180"/>
      <c r="I3" s="112" t="str">
        <f t="shared" si="0"/>
        <v>.0-255</v>
      </c>
      <c r="K3" s="207"/>
    </row>
    <row r="4" spans="1:14" ht="12.75" customHeight="1">
      <c r="A4" s="117" t="str">
        <f>_xlfn.XLOOKUP(B4,Summary!B:B,Summary!C:C,"")</f>
        <v>Empty</v>
      </c>
      <c r="B4" s="112" t="s">
        <v>480</v>
      </c>
      <c r="C4" s="180" t="s">
        <v>705</v>
      </c>
      <c r="D4" s="112" t="s">
        <v>706</v>
      </c>
      <c r="E4" s="177" t="s">
        <v>707</v>
      </c>
      <c r="F4" s="177" t="s">
        <v>708</v>
      </c>
      <c r="G4" s="112"/>
      <c r="H4" s="112"/>
      <c r="I4" s="112" t="str">
        <f t="shared" si="0"/>
        <v>.0-255</v>
      </c>
      <c r="K4" s="207"/>
    </row>
    <row r="5" spans="1:14" ht="12.75" customHeight="1">
      <c r="A5" s="117" t="str">
        <f>_xlfn.XLOOKUP(B5,Summary!B:B,Summary!C:C,"")</f>
        <v>Whatsminer M60S</v>
      </c>
      <c r="B5" s="112" t="s">
        <v>509</v>
      </c>
      <c r="C5" s="180" t="s">
        <v>709</v>
      </c>
      <c r="D5" s="112" t="s">
        <v>710</v>
      </c>
      <c r="E5" s="112" t="s">
        <v>711</v>
      </c>
      <c r="F5" s="112" t="s">
        <v>712</v>
      </c>
      <c r="G5" s="112"/>
      <c r="H5" s="177"/>
      <c r="I5" s="112" t="str">
        <f t="shared" si="0"/>
        <v>.0-255</v>
      </c>
      <c r="K5" s="207"/>
    </row>
    <row r="6" spans="1:14" ht="12.75" customHeight="1">
      <c r="A6" s="117" t="str">
        <f>_xlfn.XLOOKUP(B6,Summary!B:B,Summary!C:C,"")</f>
        <v>Whatsminer M60S</v>
      </c>
      <c r="B6" s="112" t="s">
        <v>513</v>
      </c>
      <c r="C6" s="180" t="s">
        <v>713</v>
      </c>
      <c r="D6" s="112" t="s">
        <v>714</v>
      </c>
      <c r="E6" s="112" t="s">
        <v>715</v>
      </c>
      <c r="F6" s="112" t="s">
        <v>716</v>
      </c>
      <c r="G6" s="112"/>
      <c r="H6" s="177"/>
      <c r="I6" s="112" t="str">
        <f t="shared" si="0"/>
        <v>.0-255</v>
      </c>
      <c r="K6" s="207"/>
    </row>
    <row r="7" spans="1:14" ht="12.75" customHeight="1">
      <c r="A7" s="117" t="str">
        <f>_xlfn.XLOOKUP(B7,Summary!B:B,Summary!C:C,"")</f>
        <v>Empty</v>
      </c>
      <c r="B7" s="112" t="s">
        <v>517</v>
      </c>
      <c r="C7" s="180" t="s">
        <v>717</v>
      </c>
      <c r="D7" s="112" t="s">
        <v>718</v>
      </c>
      <c r="E7" s="112" t="s">
        <v>719</v>
      </c>
      <c r="F7" s="112" t="s">
        <v>720</v>
      </c>
      <c r="G7" s="112"/>
      <c r="H7" s="112"/>
      <c r="I7" s="112" t="str">
        <f t="shared" si="0"/>
        <v>.0-255</v>
      </c>
      <c r="K7" s="207"/>
    </row>
    <row r="8" spans="1:14" ht="12.75" customHeight="1">
      <c r="A8" s="117" t="str">
        <f>_xlfn.XLOOKUP(B8,Summary!B:B,Summary!C:C,"")</f>
        <v>Whatsminer M60S</v>
      </c>
      <c r="B8" s="112" t="s">
        <v>520</v>
      </c>
      <c r="C8" s="180" t="s">
        <v>721</v>
      </c>
      <c r="D8" s="112" t="s">
        <v>722</v>
      </c>
      <c r="E8" s="112" t="s">
        <v>723</v>
      </c>
      <c r="F8" s="112" t="s">
        <v>724</v>
      </c>
      <c r="G8" s="112"/>
      <c r="H8" s="112"/>
      <c r="I8" s="112" t="str">
        <f t="shared" si="0"/>
        <v>.0-255</v>
      </c>
      <c r="K8" s="207"/>
    </row>
    <row r="9" spans="1:14" ht="12.75" customHeight="1">
      <c r="A9" s="117" t="str">
        <f>_xlfn.XLOOKUP(B9,Summary!B:B,Summary!C:C,"")</f>
        <v>Whatsminer M60</v>
      </c>
      <c r="B9" s="112" t="s">
        <v>546</v>
      </c>
      <c r="C9" s="180" t="s">
        <v>725</v>
      </c>
      <c r="D9" s="112" t="s">
        <v>726</v>
      </c>
      <c r="E9" s="112" t="s">
        <v>727</v>
      </c>
      <c r="F9" s="112" t="s">
        <v>728</v>
      </c>
      <c r="G9" s="112"/>
      <c r="H9"/>
      <c r="I9" s="112" t="str">
        <f t="shared" si="0"/>
        <v>.0-255</v>
      </c>
      <c r="K9" s="208"/>
      <c r="L9"/>
      <c r="M9"/>
      <c r="N9"/>
    </row>
    <row r="10" spans="1:14" ht="12.75" customHeight="1">
      <c r="A10" s="117" t="str">
        <f>_xlfn.XLOOKUP(B10,Summary!B:B,Summary!C:C,"")</f>
        <v>Empty</v>
      </c>
      <c r="B10" s="112" t="s">
        <v>550</v>
      </c>
      <c r="C10" s="180" t="s">
        <v>729</v>
      </c>
      <c r="D10" s="112" t="s">
        <v>730</v>
      </c>
      <c r="E10" s="112" t="s">
        <v>731</v>
      </c>
      <c r="F10" s="112" t="s">
        <v>732</v>
      </c>
      <c r="H10"/>
      <c r="I10" s="112" t="str">
        <f t="shared" si="0"/>
        <v>.0-255</v>
      </c>
    </row>
    <row r="11" spans="1:14" ht="12.75" customHeight="1">
      <c r="A11" s="117" t="str">
        <f>_xlfn.XLOOKUP(B11,Summary!B:B,Summary!C:C,"")</f>
        <v>Whatsminer M60S</v>
      </c>
      <c r="B11" s="112" t="s">
        <v>553</v>
      </c>
      <c r="C11" s="180" t="s">
        <v>733</v>
      </c>
      <c r="D11" s="112" t="s">
        <v>734</v>
      </c>
      <c r="E11" s="112" t="s">
        <v>735</v>
      </c>
      <c r="F11" s="112" t="s">
        <v>736</v>
      </c>
      <c r="H11"/>
      <c r="I11" s="112" t="str">
        <f t="shared" si="0"/>
        <v>.0-255</v>
      </c>
      <c r="K11" s="207"/>
    </row>
    <row r="12" spans="1:14" ht="12.75" customHeight="1">
      <c r="A12" s="117" t="str">
        <f>_xlfn.XLOOKUP(B12,Summary!B:B,Summary!C:C,"")</f>
        <v>Whatsminer M60S</v>
      </c>
      <c r="B12" s="112" t="s">
        <v>556</v>
      </c>
      <c r="C12" s="180" t="s">
        <v>737</v>
      </c>
      <c r="D12" s="112" t="s">
        <v>738</v>
      </c>
      <c r="E12" s="112" t="s">
        <v>739</v>
      </c>
      <c r="F12" s="112" t="s">
        <v>740</v>
      </c>
      <c r="H12"/>
      <c r="I12" s="112" t="str">
        <f t="shared" si="0"/>
        <v>.0-255</v>
      </c>
      <c r="K12" s="207"/>
    </row>
    <row r="13" spans="1:14" ht="12.75" customHeight="1">
      <c r="A13" s="117" t="str">
        <f>_xlfn.XLOOKUP(B13,Summary!B:B,Summary!C:C,"")</f>
        <v>Empty</v>
      </c>
      <c r="B13" s="112" t="s">
        <v>559</v>
      </c>
      <c r="C13" s="180" t="s">
        <v>741</v>
      </c>
      <c r="D13" s="112" t="s">
        <v>742</v>
      </c>
      <c r="E13" s="112" t="s">
        <v>743</v>
      </c>
      <c r="F13" s="112" t="s">
        <v>744</v>
      </c>
      <c r="H13"/>
      <c r="I13" s="112" t="str">
        <f t="shared" si="0"/>
        <v>.0-255</v>
      </c>
      <c r="K13"/>
    </row>
    <row r="14" spans="1:14" ht="12.75" customHeight="1">
      <c r="A14" s="117" t="str">
        <f>_xlfn.XLOOKUP(B14,Summary!B:B,Summary!C:C,"")</f>
        <v>Empty</v>
      </c>
      <c r="B14" s="112" t="s">
        <v>563</v>
      </c>
      <c r="C14" s="180" t="s">
        <v>745</v>
      </c>
      <c r="D14" s="112" t="s">
        <v>746</v>
      </c>
      <c r="E14" s="112" t="s">
        <v>747</v>
      </c>
      <c r="F14" s="112" t="s">
        <v>748</v>
      </c>
      <c r="H14"/>
      <c r="I14" s="112" t="str">
        <f t="shared" si="0"/>
        <v>.0-255</v>
      </c>
      <c r="K14"/>
      <c r="L14"/>
      <c r="M14"/>
      <c r="N14"/>
    </row>
    <row r="15" spans="1:14" ht="12.75" customHeight="1">
      <c r="A15" s="117" t="str">
        <f>_xlfn.XLOOKUP(B15,Summary!B:B,Summary!C:C,"")</f>
        <v>Whatsminer M60 / M60S</v>
      </c>
      <c r="B15" s="112" t="s">
        <v>567</v>
      </c>
      <c r="C15" s="180" t="s">
        <v>749</v>
      </c>
      <c r="D15" s="112" t="s">
        <v>750</v>
      </c>
      <c r="E15" s="177" t="s">
        <v>751</v>
      </c>
      <c r="F15" s="177" t="s">
        <v>752</v>
      </c>
      <c r="H15" s="180"/>
      <c r="I15" s="112" t="str">
        <f t="shared" si="0"/>
        <v>.0-255</v>
      </c>
      <c r="K15" s="208"/>
      <c r="L15"/>
      <c r="M15"/>
      <c r="N15"/>
    </row>
    <row r="16" spans="1:14" ht="12.75" customHeight="1">
      <c r="A16" s="117" t="str">
        <f>_xlfn.XLOOKUP(B16,Summary!B:B,Summary!C:C,"")</f>
        <v>Empty</v>
      </c>
      <c r="B16" s="112" t="s">
        <v>572</v>
      </c>
      <c r="C16" s="180" t="s">
        <v>753</v>
      </c>
      <c r="D16" s="112" t="s">
        <v>754</v>
      </c>
      <c r="E16" s="177" t="s">
        <v>755</v>
      </c>
      <c r="F16" s="177" t="s">
        <v>756</v>
      </c>
      <c r="H16"/>
      <c r="I16" s="112" t="str">
        <f t="shared" si="0"/>
        <v>.0-255</v>
      </c>
      <c r="K16"/>
      <c r="L16"/>
      <c r="M16"/>
      <c r="N16"/>
    </row>
    <row r="17" spans="1:14" s="112" customFormat="1" ht="12.75" customHeight="1">
      <c r="A17" s="117" t="str">
        <f>_xlfn.XLOOKUP(B17,Summary!B:B,Summary!C:C,"")</f>
        <v>Whatsminer M60 / M60S</v>
      </c>
      <c r="B17" s="112" t="s">
        <v>576</v>
      </c>
      <c r="C17" s="180" t="s">
        <v>757</v>
      </c>
      <c r="D17" s="112" t="s">
        <v>758</v>
      </c>
      <c r="E17" s="177" t="s">
        <v>759</v>
      </c>
      <c r="F17" s="177" t="s">
        <v>760</v>
      </c>
      <c r="I17" s="112" t="str">
        <f t="shared" si="0"/>
        <v>.0-255</v>
      </c>
      <c r="K17" s="208"/>
      <c r="L17"/>
      <c r="M17"/>
      <c r="N17"/>
    </row>
    <row r="18" spans="1:14" s="112" customFormat="1" ht="12.75" customHeight="1">
      <c r="A18" s="117" t="str">
        <f>_xlfn.XLOOKUP(B18,Summary!B:B,Summary!C:C,"")</f>
        <v>Whatsminer M60 / M60S</v>
      </c>
      <c r="B18" s="112" t="s">
        <v>580</v>
      </c>
      <c r="C18" s="112" t="s">
        <v>761</v>
      </c>
      <c r="D18" s="112" t="s">
        <v>762</v>
      </c>
      <c r="E18" s="112" t="s">
        <v>763</v>
      </c>
      <c r="F18" s="112" t="s">
        <v>764</v>
      </c>
      <c r="I18" s="112" t="str">
        <f t="shared" si="0"/>
        <v>.0-255</v>
      </c>
      <c r="K18"/>
      <c r="L18"/>
      <c r="M18"/>
      <c r="N18"/>
    </row>
    <row r="19" spans="1:14" s="112" customFormat="1" ht="12.75" customHeight="1">
      <c r="A19" s="117" t="str">
        <f>_xlfn.XLOOKUP(B19,Summary!B:B,Summary!C:C,"")</f>
        <v>Whatsminer M60S</v>
      </c>
      <c r="B19" s="112" t="s">
        <v>584</v>
      </c>
      <c r="C19" s="180" t="s">
        <v>765</v>
      </c>
      <c r="D19" s="112" t="s">
        <v>766</v>
      </c>
      <c r="E19" s="112" t="s">
        <v>767</v>
      </c>
      <c r="F19" s="112" t="s">
        <v>768</v>
      </c>
      <c r="I19" s="112" t="str">
        <f t="shared" si="0"/>
        <v>.0-255</v>
      </c>
      <c r="K19" s="208"/>
      <c r="L19"/>
      <c r="M19"/>
      <c r="N19"/>
    </row>
    <row r="20" spans="1:14" s="112" customFormat="1" ht="12.75" customHeight="1">
      <c r="A20" s="117" t="str">
        <f>_xlfn.XLOOKUP(B20,Summary!B:B,Summary!C:C,"")</f>
        <v>Whatsminer M60 / M60S</v>
      </c>
      <c r="B20" s="112" t="s">
        <v>587</v>
      </c>
      <c r="C20" s="180" t="s">
        <v>769</v>
      </c>
      <c r="D20" s="112" t="s">
        <v>770</v>
      </c>
      <c r="E20" s="112" t="s">
        <v>771</v>
      </c>
      <c r="F20" s="112" t="s">
        <v>772</v>
      </c>
      <c r="I20" s="112" t="str">
        <f t="shared" si="0"/>
        <v>.0-255</v>
      </c>
      <c r="K20" s="208"/>
      <c r="L20"/>
      <c r="M20"/>
      <c r="N20"/>
    </row>
    <row r="21" spans="1:14" s="112" customFormat="1" ht="12.75" customHeight="1">
      <c r="A21" s="117" t="str">
        <f>_xlfn.XLOOKUP(B21,Summary!B:B,Summary!C:C,"")</f>
        <v>Whatsminer M60</v>
      </c>
      <c r="B21" s="112" t="s">
        <v>590</v>
      </c>
      <c r="C21" s="180" t="s">
        <v>773</v>
      </c>
      <c r="D21" s="112" t="s">
        <v>774</v>
      </c>
      <c r="E21" s="112" t="s">
        <v>775</v>
      </c>
      <c r="F21" s="112" t="s">
        <v>776</v>
      </c>
      <c r="I21" s="112" t="str">
        <f>H21&amp;".0-255"</f>
        <v>.0-255</v>
      </c>
      <c r="K21" s="209"/>
    </row>
    <row r="22" spans="1:14" s="112" customFormat="1" ht="12.75" customHeight="1">
      <c r="A22" s="117" t="str">
        <f>_xlfn.XLOOKUP(B22,Summary!B:B,Summary!C:C,"")</f>
        <v>Whatsminer M60</v>
      </c>
      <c r="B22" s="112" t="s">
        <v>593</v>
      </c>
      <c r="C22" s="180" t="s">
        <v>777</v>
      </c>
      <c r="D22" s="112" t="s">
        <v>778</v>
      </c>
      <c r="E22" s="112" t="s">
        <v>779</v>
      </c>
      <c r="F22" s="112" t="s">
        <v>780</v>
      </c>
      <c r="H22" s="177"/>
      <c r="I22" s="112" t="str">
        <f t="shared" si="0"/>
        <v>.0-255</v>
      </c>
      <c r="K22" s="209"/>
    </row>
    <row r="23" spans="1:14" s="112" customFormat="1" ht="12.75" customHeight="1">
      <c r="A23" s="117" t="str">
        <f>_xlfn.XLOOKUP(B23,Summary!B:B,Summary!C:C,"")</f>
        <v>Whatsminer M60 / M60S</v>
      </c>
      <c r="B23" s="112" t="s">
        <v>596</v>
      </c>
      <c r="C23" s="180" t="s">
        <v>781</v>
      </c>
      <c r="D23" s="112" t="s">
        <v>782</v>
      </c>
      <c r="E23" s="112" t="s">
        <v>783</v>
      </c>
      <c r="F23" s="112" t="s">
        <v>784</v>
      </c>
      <c r="H23" s="177"/>
      <c r="I23" s="112" t="str">
        <f t="shared" si="0"/>
        <v>.0-255</v>
      </c>
      <c r="K23" s="209"/>
    </row>
    <row r="24" spans="1:14" s="112" customFormat="1" ht="12.75" customHeight="1">
      <c r="A24" s="117" t="str">
        <f>_xlfn.XLOOKUP(B24,Summary!B:B,Summary!C:C,"")</f>
        <v>Whatsminer M60 / M60S</v>
      </c>
      <c r="B24" s="112" t="s">
        <v>599</v>
      </c>
      <c r="C24" s="180" t="s">
        <v>785</v>
      </c>
      <c r="D24" s="112" t="s">
        <v>786</v>
      </c>
      <c r="E24" s="112" t="s">
        <v>787</v>
      </c>
      <c r="F24" s="112" t="s">
        <v>788</v>
      </c>
      <c r="H24" s="180"/>
      <c r="I24" s="112" t="str">
        <f t="shared" si="0"/>
        <v>.0-255</v>
      </c>
      <c r="K24" s="209"/>
    </row>
    <row r="25" spans="1:14" s="112" customFormat="1" ht="12.75" customHeight="1">
      <c r="A25" s="117" t="str">
        <f>_xlfn.XLOOKUP(B25,Summary!B:B,Summary!C:C,"")</f>
        <v>Whatsminer M60 / M60S</v>
      </c>
      <c r="B25" s="112" t="s">
        <v>602</v>
      </c>
      <c r="C25" s="180" t="s">
        <v>789</v>
      </c>
      <c r="D25" s="112" t="s">
        <v>790</v>
      </c>
      <c r="E25" s="112" t="s">
        <v>791</v>
      </c>
      <c r="F25" s="112" t="s">
        <v>792</v>
      </c>
      <c r="I25" s="112" t="str">
        <f t="shared" si="0"/>
        <v>.0-255</v>
      </c>
      <c r="K25" s="209"/>
    </row>
    <row r="26" spans="1:14" s="112" customFormat="1" ht="12.75" customHeight="1">
      <c r="A26" s="117" t="str">
        <f>_xlfn.XLOOKUP(B26,Summary!B:B,Summary!C:C,"")</f>
        <v>Whatsminer M60 / M60S</v>
      </c>
      <c r="B26" s="112" t="s">
        <v>605</v>
      </c>
      <c r="C26" s="180" t="s">
        <v>793</v>
      </c>
      <c r="D26" s="112" t="s">
        <v>794</v>
      </c>
      <c r="E26" s="112" t="s">
        <v>795</v>
      </c>
      <c r="F26" s="112" t="s">
        <v>796</v>
      </c>
      <c r="H26" s="177"/>
      <c r="I26" s="112" t="str">
        <f t="shared" si="0"/>
        <v>.0-255</v>
      </c>
      <c r="K26" s="209"/>
    </row>
    <row r="27" spans="1:14" s="112" customFormat="1" ht="12.75" customHeight="1">
      <c r="A27" s="117" t="str">
        <f>_xlfn.XLOOKUP(B27,Summary!B:B,Summary!C:C,"")</f>
        <v>Whatsminer M60 / M60S</v>
      </c>
      <c r="B27" s="112" t="s">
        <v>608</v>
      </c>
      <c r="C27" s="180" t="s">
        <v>797</v>
      </c>
      <c r="D27" s="112" t="s">
        <v>798</v>
      </c>
      <c r="E27" s="112" t="s">
        <v>799</v>
      </c>
      <c r="F27" s="112" t="s">
        <v>800</v>
      </c>
      <c r="H27" s="177"/>
      <c r="I27" s="112" t="str">
        <f t="shared" si="0"/>
        <v>.0-255</v>
      </c>
      <c r="K27" s="209"/>
    </row>
    <row r="28" spans="1:14" s="112" customFormat="1" ht="12.75" customHeight="1">
      <c r="A28" s="117" t="str">
        <f>_xlfn.XLOOKUP(B28,Summary!B:B,Summary!C:C,"")</f>
        <v>Whatsminer M60S</v>
      </c>
      <c r="B28" s="112" t="s">
        <v>611</v>
      </c>
      <c r="C28" s="180" t="s">
        <v>801</v>
      </c>
      <c r="D28" s="112" t="s">
        <v>802</v>
      </c>
      <c r="E28" s="112" t="s">
        <v>803</v>
      </c>
      <c r="F28" s="112" t="s">
        <v>804</v>
      </c>
      <c r="H28" s="180"/>
      <c r="I28" s="112" t="str">
        <f t="shared" si="0"/>
        <v>.0-255</v>
      </c>
      <c r="K28" s="209"/>
    </row>
    <row r="29" spans="1:14" s="112" customFormat="1" ht="12.75" customHeight="1">
      <c r="A29" s="117" t="str">
        <f>_xlfn.XLOOKUP(B29,Summary!B:B,Summary!C:C,"")</f>
        <v>Whatsminer M60S</v>
      </c>
      <c r="B29" s="112" t="s">
        <v>614</v>
      </c>
      <c r="C29" s="180" t="s">
        <v>805</v>
      </c>
      <c r="D29" s="112" t="s">
        <v>806</v>
      </c>
      <c r="E29" s="112" t="s">
        <v>807</v>
      </c>
      <c r="F29" s="112" t="s">
        <v>808</v>
      </c>
      <c r="I29" s="112" t="str">
        <f t="shared" si="0"/>
        <v>.0-255</v>
      </c>
      <c r="K29" s="209"/>
    </row>
    <row r="30" spans="1:14" s="112" customFormat="1" ht="12.75" customHeight="1">
      <c r="A30" s="117" t="str">
        <f>_xlfn.XLOOKUP(B30,Summary!B:B,Summary!C:C,"")</f>
        <v>Whatsminer M60S</v>
      </c>
      <c r="B30" s="112" t="s">
        <v>617</v>
      </c>
      <c r="C30" s="180" t="s">
        <v>809</v>
      </c>
      <c r="D30" s="112" t="s">
        <v>810</v>
      </c>
      <c r="E30" s="112" t="s">
        <v>811</v>
      </c>
      <c r="F30" s="112" t="s">
        <v>812</v>
      </c>
      <c r="I30" s="112" t="str">
        <f t="shared" si="0"/>
        <v>.0-255</v>
      </c>
      <c r="K30" s="209"/>
    </row>
    <row r="31" spans="1:14" s="112" customFormat="1" ht="12.75" customHeight="1">
      <c r="A31" s="117" t="str">
        <f>_xlfn.XLOOKUP(B31,Summary!B:B,Summary!C:C,"")</f>
        <v>Whatsminer M60 / M60S</v>
      </c>
      <c r="B31" s="112" t="s">
        <v>620</v>
      </c>
      <c r="C31" s="180" t="s">
        <v>813</v>
      </c>
      <c r="D31" s="112" t="s">
        <v>814</v>
      </c>
      <c r="E31" s="112" t="s">
        <v>815</v>
      </c>
      <c r="F31" s="112" t="s">
        <v>816</v>
      </c>
      <c r="I31" s="112" t="str">
        <f t="shared" si="0"/>
        <v>.0-255</v>
      </c>
      <c r="K31" s="209"/>
    </row>
    <row r="32" spans="1:14" s="112" customFormat="1" ht="12.75" customHeight="1">
      <c r="A32" s="117" t="str">
        <f>_xlfn.XLOOKUP(B32,Summary!B:B,Summary!C:C,"")</f>
        <v>Whatsminer M60S</v>
      </c>
      <c r="B32" s="112" t="s">
        <v>623</v>
      </c>
      <c r="C32" s="180" t="s">
        <v>817</v>
      </c>
      <c r="D32" s="112" t="s">
        <v>818</v>
      </c>
      <c r="E32" s="112" t="s">
        <v>819</v>
      </c>
      <c r="F32" s="112" t="s">
        <v>820</v>
      </c>
      <c r="H32" s="180"/>
      <c r="I32" s="112" t="str">
        <f t="shared" si="0"/>
        <v>.0-255</v>
      </c>
      <c r="K32" s="208"/>
      <c r="L32"/>
      <c r="M32"/>
      <c r="N32"/>
    </row>
    <row r="33" spans="1:17" ht="12.75" customHeight="1">
      <c r="A33" s="117" t="str">
        <f>_xlfn.XLOOKUP(B33,Summary!B:B,Summary!C:C,"")</f>
        <v>Whatsminer M60S</v>
      </c>
      <c r="B33" s="112" t="s">
        <v>626</v>
      </c>
      <c r="C33" s="180" t="s">
        <v>821</v>
      </c>
      <c r="D33" s="112" t="s">
        <v>822</v>
      </c>
      <c r="E33" s="112" t="s">
        <v>823</v>
      </c>
      <c r="F33" s="112" t="s">
        <v>824</v>
      </c>
      <c r="G33" s="112"/>
      <c r="H33" s="112"/>
      <c r="I33" s="112" t="str">
        <f t="shared" si="0"/>
        <v>.0-255</v>
      </c>
      <c r="J33" s="112"/>
      <c r="K33" s="209"/>
      <c r="L33" s="112"/>
      <c r="M33" s="112"/>
      <c r="N33" s="112"/>
      <c r="O33" s="112"/>
      <c r="P33" s="112"/>
      <c r="Q33" s="112"/>
    </row>
    <row r="34" spans="1:17" ht="12.75" customHeight="1">
      <c r="A34" s="117" t="str">
        <f>_xlfn.XLOOKUP(B34,Summary!B:B,Summary!C:C,"")</f>
        <v>Whatsminer M60 / M60S</v>
      </c>
      <c r="B34" s="112" t="s">
        <v>629</v>
      </c>
      <c r="C34" s="180" t="s">
        <v>825</v>
      </c>
      <c r="D34" s="112" t="s">
        <v>826</v>
      </c>
      <c r="E34" s="112" t="s">
        <v>827</v>
      </c>
      <c r="F34" s="112" t="s">
        <v>828</v>
      </c>
      <c r="G34" s="112"/>
      <c r="H34" s="112"/>
      <c r="I34" s="112" t="str">
        <f t="shared" si="0"/>
        <v>.0-255</v>
      </c>
      <c r="J34" s="112"/>
      <c r="K34" s="209"/>
      <c r="L34" s="112"/>
      <c r="M34" s="112"/>
      <c r="N34" s="112"/>
      <c r="O34" s="112"/>
      <c r="P34" s="112"/>
      <c r="Q34" s="112"/>
    </row>
    <row r="35" spans="1:17" ht="12.75" customHeight="1">
      <c r="A35" s="117" t="str">
        <f>_xlfn.XLOOKUP(B35,Summary!B:B,Summary!C:C,"")</f>
        <v>Whatsminer M60</v>
      </c>
      <c r="B35" s="112" t="s">
        <v>632</v>
      </c>
      <c r="C35" s="180" t="s">
        <v>829</v>
      </c>
      <c r="D35" s="112" t="s">
        <v>830</v>
      </c>
      <c r="E35" s="112" t="s">
        <v>831</v>
      </c>
      <c r="F35" s="112" t="s">
        <v>832</v>
      </c>
      <c r="G35" s="112"/>
      <c r="H35" s="112"/>
      <c r="I35" s="112" t="str">
        <f t="shared" si="0"/>
        <v>.0-255</v>
      </c>
      <c r="J35" s="112"/>
      <c r="K35" s="209"/>
      <c r="L35" s="112"/>
      <c r="M35" s="112"/>
      <c r="N35" s="112"/>
      <c r="O35" s="112"/>
      <c r="P35" s="112"/>
      <c r="Q35" s="112"/>
    </row>
    <row r="36" spans="1:17" ht="12.75" customHeight="1">
      <c r="A36" s="117" t="str">
        <f>_xlfn.XLOOKUP(B36,Summary!B:B,Summary!C:C,"")</f>
        <v>Whatsminer M60 / M60S</v>
      </c>
      <c r="B36" s="112" t="s">
        <v>635</v>
      </c>
      <c r="C36" s="180" t="s">
        <v>833</v>
      </c>
      <c r="D36" s="112" t="s">
        <v>834</v>
      </c>
      <c r="E36" s="112" t="s">
        <v>835</v>
      </c>
      <c r="F36" s="112" t="s">
        <v>836</v>
      </c>
      <c r="G36" s="112"/>
      <c r="H36"/>
      <c r="I36" s="112" t="str">
        <f t="shared" si="0"/>
        <v>.0-255</v>
      </c>
      <c r="J36" s="112"/>
      <c r="K36" s="209"/>
      <c r="L36" s="112"/>
      <c r="M36" s="112"/>
      <c r="N36" s="112"/>
      <c r="O36" s="112"/>
      <c r="P36" s="112"/>
      <c r="Q36" s="112"/>
    </row>
    <row r="37" spans="1:17" ht="12.75" customHeight="1">
      <c r="A37" s="117" t="str">
        <f>_xlfn.XLOOKUP(B37,Summary!B:B,Summary!C:C,"")</f>
        <v>Whatsminer M60S</v>
      </c>
      <c r="B37" s="112" t="s">
        <v>638</v>
      </c>
      <c r="C37" s="180" t="s">
        <v>837</v>
      </c>
      <c r="D37" s="112" t="s">
        <v>838</v>
      </c>
      <c r="E37" s="112" t="s">
        <v>839</v>
      </c>
      <c r="F37" s="112" t="s">
        <v>840</v>
      </c>
      <c r="G37" s="112"/>
      <c r="H37"/>
      <c r="I37" s="112" t="str">
        <f t="shared" si="0"/>
        <v>.0-255</v>
      </c>
      <c r="J37" s="112"/>
      <c r="K37" s="209"/>
      <c r="L37" s="112"/>
      <c r="M37" s="112"/>
      <c r="N37" s="112"/>
      <c r="O37" s="112"/>
      <c r="P37" s="112"/>
      <c r="Q37" s="112"/>
    </row>
    <row r="38" spans="1:17" ht="12.75" customHeight="1">
      <c r="A38" s="117" t="str">
        <f>_xlfn.XLOOKUP(B38,Summary!B:B,Summary!C:C,"")</f>
        <v>Whatsminer M60S</v>
      </c>
      <c r="B38" s="112" t="s">
        <v>641</v>
      </c>
      <c r="C38" s="180" t="s">
        <v>841</v>
      </c>
      <c r="D38" s="112" t="s">
        <v>842</v>
      </c>
      <c r="E38" s="112" t="s">
        <v>843</v>
      </c>
      <c r="F38" s="112" t="s">
        <v>844</v>
      </c>
      <c r="G38" s="112"/>
      <c r="H38"/>
      <c r="I38" s="112" t="str">
        <f>H38&amp;".0-255"</f>
        <v>.0-255</v>
      </c>
      <c r="J38" s="112"/>
      <c r="K38" s="208"/>
      <c r="L38"/>
      <c r="M38"/>
      <c r="N38"/>
      <c r="O38" s="112"/>
      <c r="P38" s="112"/>
      <c r="Q38" s="112"/>
    </row>
    <row r="39" spans="1:17" ht="12.75" customHeight="1">
      <c r="A39" s="117" t="str">
        <f>_xlfn.XLOOKUP(B39,Summary!B:B,Summary!C:C,"")</f>
        <v>Whatsminer M60S</v>
      </c>
      <c r="B39" s="112" t="s">
        <v>644</v>
      </c>
      <c r="C39" s="180" t="s">
        <v>845</v>
      </c>
      <c r="D39" s="112" t="s">
        <v>846</v>
      </c>
      <c r="E39" s="112" t="s">
        <v>847</v>
      </c>
      <c r="F39" s="112" t="s">
        <v>848</v>
      </c>
      <c r="G39" s="112"/>
      <c r="H39"/>
      <c r="I39" s="112" t="str">
        <f t="shared" si="0"/>
        <v>.0-255</v>
      </c>
      <c r="J39" s="112"/>
      <c r="K39" s="209"/>
      <c r="L39" s="112"/>
      <c r="M39" s="112"/>
      <c r="N39" s="112"/>
      <c r="O39" s="112"/>
      <c r="P39" s="112"/>
      <c r="Q39" s="112"/>
    </row>
    <row r="40" spans="1:17" ht="12.75" customHeight="1">
      <c r="A40" s="117" t="str">
        <f>_xlfn.XLOOKUP(B40,Summary!B:B,Summary!C:C,"")</f>
        <v>Whatsminer M60S</v>
      </c>
      <c r="B40" s="112" t="s">
        <v>647</v>
      </c>
      <c r="C40" s="180" t="s">
        <v>849</v>
      </c>
      <c r="D40" s="112" t="s">
        <v>850</v>
      </c>
      <c r="E40" s="112" t="s">
        <v>851</v>
      </c>
      <c r="F40" s="112" t="s">
        <v>852</v>
      </c>
      <c r="G40" s="112"/>
      <c r="H40" s="112"/>
      <c r="I40" s="112" t="str">
        <f t="shared" si="0"/>
        <v>.0-255</v>
      </c>
      <c r="J40" s="112"/>
      <c r="K40" s="209"/>
      <c r="L40" s="112"/>
      <c r="M40" s="112"/>
      <c r="N40" s="112"/>
      <c r="O40" s="112"/>
      <c r="P40" s="112"/>
      <c r="Q40" s="112"/>
    </row>
    <row r="41" spans="1:17" ht="12.75" customHeight="1">
      <c r="A41" s="117" t="str">
        <f>_xlfn.XLOOKUP(B41,Summary!B:B,Summary!C:C,"")</f>
        <v>Whatsminer M60S</v>
      </c>
      <c r="B41" s="112" t="s">
        <v>650</v>
      </c>
      <c r="C41" s="180" t="s">
        <v>853</v>
      </c>
      <c r="D41" s="112" t="s">
        <v>854</v>
      </c>
      <c r="E41" s="112" t="s">
        <v>855</v>
      </c>
      <c r="F41" s="112" t="s">
        <v>856</v>
      </c>
      <c r="G41" s="112"/>
      <c r="H41" s="112"/>
      <c r="I41" s="112" t="str">
        <f t="shared" si="0"/>
        <v>.0-255</v>
      </c>
      <c r="J41" s="112"/>
      <c r="K41" s="209"/>
      <c r="L41" s="112"/>
      <c r="M41" s="112"/>
      <c r="N41" s="112"/>
      <c r="O41" s="112"/>
      <c r="P41" s="112"/>
      <c r="Q41" s="112"/>
    </row>
    <row r="42" spans="1:17" ht="12.75" customHeight="1">
      <c r="A42" s="117" t="str">
        <f>_xlfn.XLOOKUP(B42,Summary!B:B,Summary!C:C,"")</f>
        <v>Whatsminer M60S</v>
      </c>
      <c r="B42" s="112" t="s">
        <v>653</v>
      </c>
      <c r="C42" s="180" t="s">
        <v>857</v>
      </c>
      <c r="D42" s="112" t="s">
        <v>858</v>
      </c>
      <c r="E42" s="112" t="s">
        <v>859</v>
      </c>
      <c r="F42" s="112" t="s">
        <v>860</v>
      </c>
      <c r="G42" s="112"/>
      <c r="H42" s="112"/>
      <c r="I42" s="112" t="str">
        <f t="shared" si="0"/>
        <v>.0-255</v>
      </c>
      <c r="J42" s="112"/>
      <c r="K42" s="209"/>
      <c r="L42" s="112"/>
      <c r="M42" s="112"/>
      <c r="N42" s="112"/>
      <c r="O42" s="112"/>
      <c r="P42" s="112"/>
      <c r="Q42" s="112"/>
    </row>
    <row r="43" spans="1:17" ht="12.75" customHeight="1">
      <c r="A43" s="117" t="str">
        <f>_xlfn.XLOOKUP(B43,Summary!B:B,Summary!C:C,"")</f>
        <v>Whatsminer M60S</v>
      </c>
      <c r="B43" s="112" t="s">
        <v>656</v>
      </c>
      <c r="C43" s="180" t="s">
        <v>861</v>
      </c>
      <c r="D43" s="112" t="s">
        <v>862</v>
      </c>
      <c r="E43" s="112" t="s">
        <v>863</v>
      </c>
      <c r="F43" s="112" t="s">
        <v>864</v>
      </c>
      <c r="G43" s="112"/>
      <c r="H43" s="180"/>
      <c r="I43" s="112" t="str">
        <f t="shared" si="0"/>
        <v>.0-255</v>
      </c>
      <c r="J43" s="112"/>
      <c r="K43" s="208"/>
      <c r="L43"/>
      <c r="M43"/>
      <c r="N43"/>
      <c r="O43" s="112"/>
      <c r="P43" s="112"/>
      <c r="Q43" s="112"/>
    </row>
    <row r="44" spans="1:17" ht="12.75" customHeight="1">
      <c r="A44" s="117" t="str">
        <f>_xlfn.XLOOKUP(B44,Summary!B:B,Summary!C:C,"")</f>
        <v>Whatsminer M60S</v>
      </c>
      <c r="B44" s="112" t="s">
        <v>659</v>
      </c>
      <c r="C44" s="180" t="s">
        <v>865</v>
      </c>
      <c r="D44" s="112" t="s">
        <v>866</v>
      </c>
      <c r="E44" s="112" t="s">
        <v>867</v>
      </c>
      <c r="F44" s="112" t="s">
        <v>868</v>
      </c>
      <c r="G44" s="112"/>
      <c r="H44" s="112"/>
      <c r="I44" s="112" t="str">
        <f t="shared" si="0"/>
        <v>.0-255</v>
      </c>
      <c r="J44" s="112"/>
      <c r="K44" s="209"/>
      <c r="L44" s="112"/>
      <c r="M44" s="112"/>
      <c r="N44" s="112"/>
      <c r="O44" s="112"/>
      <c r="P44" s="112"/>
      <c r="Q44" s="112"/>
    </row>
    <row r="45" spans="1:17" ht="12.75" customHeight="1">
      <c r="A45" s="117" t="str">
        <f>_xlfn.XLOOKUP(B45,Summary!B:B,Summary!C:C,"")</f>
        <v>Whatsminer M60S</v>
      </c>
      <c r="B45" s="112" t="s">
        <v>662</v>
      </c>
      <c r="C45" s="180" t="s">
        <v>869</v>
      </c>
      <c r="D45" s="112" t="s">
        <v>870</v>
      </c>
      <c r="E45" s="112" t="s">
        <v>871</v>
      </c>
      <c r="F45" s="112" t="s">
        <v>872</v>
      </c>
      <c r="G45" s="112"/>
      <c r="H45" s="112"/>
      <c r="I45" s="112" t="str">
        <f t="shared" si="0"/>
        <v>.0-255</v>
      </c>
      <c r="J45" s="112"/>
      <c r="K45" s="209"/>
      <c r="L45" s="112"/>
      <c r="M45" s="112"/>
      <c r="N45" s="112"/>
      <c r="O45" s="112"/>
      <c r="P45" s="112"/>
      <c r="Q45" s="112"/>
    </row>
    <row r="46" spans="1:17" ht="12.75" customHeight="1">
      <c r="A46" s="117" t="str">
        <f>_xlfn.XLOOKUP(B46,Summary!B:B,Summary!C:C,"")</f>
        <v>Whatsminer M60S</v>
      </c>
      <c r="B46" s="112" t="s">
        <v>665</v>
      </c>
      <c r="C46" s="180" t="s">
        <v>873</v>
      </c>
      <c r="D46" s="112" t="s">
        <v>874</v>
      </c>
      <c r="E46" s="112" t="s">
        <v>875</v>
      </c>
      <c r="F46" s="112" t="s">
        <v>876</v>
      </c>
      <c r="G46" s="112"/>
      <c r="H46" s="112"/>
      <c r="I46" s="112" t="str">
        <f t="shared" si="0"/>
        <v>.0-255</v>
      </c>
      <c r="J46" s="112"/>
      <c r="K46" s="209"/>
      <c r="L46" s="112"/>
      <c r="M46" s="112"/>
      <c r="N46" s="112"/>
      <c r="O46" s="112"/>
      <c r="P46" s="112"/>
      <c r="Q46" s="112"/>
    </row>
    <row r="47" spans="1:17" ht="12.75" customHeight="1">
      <c r="A47" s="117" t="str">
        <f>_xlfn.XLOOKUP(B47,Summary!B:B,Summary!C:C,"")</f>
        <v>Whatsminer M60S</v>
      </c>
      <c r="B47" s="112" t="s">
        <v>668</v>
      </c>
      <c r="C47" s="180" t="s">
        <v>877</v>
      </c>
      <c r="D47" s="112" t="s">
        <v>878</v>
      </c>
      <c r="E47" s="112" t="s">
        <v>879</v>
      </c>
      <c r="F47" s="112" t="s">
        <v>880</v>
      </c>
      <c r="G47" s="112"/>
      <c r="H47" s="112"/>
      <c r="I47" s="112" t="str">
        <f t="shared" si="0"/>
        <v>.0-255</v>
      </c>
      <c r="K47" s="207"/>
    </row>
    <row r="48" spans="1:17" ht="12.75" customHeight="1">
      <c r="A48" s="117" t="str">
        <f>_xlfn.XLOOKUP(B48,Summary!B:B,Summary!C:C,"")</f>
        <v>Whatsminer M60S</v>
      </c>
      <c r="B48" s="112" t="s">
        <v>671</v>
      </c>
      <c r="C48" s="180" t="s">
        <v>881</v>
      </c>
      <c r="D48" s="112" t="s">
        <v>882</v>
      </c>
      <c r="E48" s="112" t="s">
        <v>883</v>
      </c>
      <c r="F48" s="112" t="s">
        <v>884</v>
      </c>
      <c r="G48" s="112"/>
      <c r="H48" s="112"/>
      <c r="I48" s="112" t="str">
        <f t="shared" si="0"/>
        <v>.0-255</v>
      </c>
      <c r="K48" s="207"/>
    </row>
    <row r="49" spans="1:11" ht="12.75" customHeight="1">
      <c r="A49" s="117" t="str">
        <f>_xlfn.XLOOKUP(B49,Summary!B:B,Summary!C:C,"")</f>
        <v>Whatsminer M60S</v>
      </c>
      <c r="B49" s="112" t="s">
        <v>674</v>
      </c>
      <c r="C49" s="180" t="s">
        <v>885</v>
      </c>
      <c r="D49" s="180" t="s">
        <v>886</v>
      </c>
      <c r="E49" s="180" t="s">
        <v>887</v>
      </c>
      <c r="F49" s="180" t="s">
        <v>888</v>
      </c>
      <c r="G49" s="112"/>
      <c r="H49" s="112"/>
      <c r="I49" s="112" t="str">
        <f t="shared" si="0"/>
        <v>.0-255</v>
      </c>
      <c r="K49" s="207"/>
    </row>
    <row r="50" spans="1:11" ht="12.75" customHeight="1">
      <c r="A50" s="117" t="str">
        <f>_xlfn.XLOOKUP(B50,Summary!B:B,Summary!C:C,"")</f>
        <v>Whatsminer M60S</v>
      </c>
      <c r="B50" s="112" t="s">
        <v>677</v>
      </c>
      <c r="C50" s="180" t="s">
        <v>889</v>
      </c>
      <c r="D50" s="112" t="s">
        <v>890</v>
      </c>
      <c r="E50" s="112" t="s">
        <v>891</v>
      </c>
      <c r="F50" s="112" t="s">
        <v>892</v>
      </c>
      <c r="G50" s="112"/>
      <c r="H50" s="112"/>
      <c r="I50" s="112" t="str">
        <f t="shared" si="0"/>
        <v>.0-255</v>
      </c>
      <c r="K50" s="207"/>
    </row>
    <row r="51" spans="1:11" ht="12.75" customHeight="1">
      <c r="A51" s="117" t="str">
        <f>_xlfn.XLOOKUP(B51,Summary!B:B,Summary!C:C,"")</f>
        <v>Whatsminer M60S</v>
      </c>
      <c r="B51" s="112" t="s">
        <v>680</v>
      </c>
      <c r="C51" s="180" t="s">
        <v>893</v>
      </c>
      <c r="D51" s="112" t="s">
        <v>894</v>
      </c>
      <c r="E51" s="112" t="s">
        <v>895</v>
      </c>
      <c r="F51" s="112" t="s">
        <v>896</v>
      </c>
      <c r="G51" s="112"/>
      <c r="H51" s="112"/>
      <c r="I51" s="112" t="str">
        <f t="shared" si="0"/>
        <v>.0-255</v>
      </c>
      <c r="K51" s="207"/>
    </row>
    <row r="52" spans="1:11" ht="12.75" customHeight="1">
      <c r="A52" s="117" t="str">
        <f>_xlfn.XLOOKUP(B52,Summary!B:B,Summary!C:C,"")</f>
        <v>Whatsminer M60S</v>
      </c>
      <c r="B52" s="112" t="s">
        <v>683</v>
      </c>
      <c r="C52" s="180" t="s">
        <v>897</v>
      </c>
      <c r="D52" s="112" t="s">
        <v>898</v>
      </c>
      <c r="E52" s="112" t="s">
        <v>899</v>
      </c>
      <c r="F52" s="112" t="s">
        <v>900</v>
      </c>
      <c r="G52" s="112"/>
      <c r="H52" s="180"/>
      <c r="I52" s="112" t="str">
        <f t="shared" si="0"/>
        <v>.0-255</v>
      </c>
      <c r="K52" s="207"/>
    </row>
    <row r="53" spans="1:11" ht="12.75" customHeight="1">
      <c r="A53" s="117" t="str">
        <f>_xlfn.XLOOKUP(B53,Summary!B:B,Summary!C:C,"")</f>
        <v>Whatsminer M60S</v>
      </c>
      <c r="B53" s="112" t="s">
        <v>686</v>
      </c>
      <c r="C53" s="180" t="s">
        <v>901</v>
      </c>
      <c r="D53" s="112" t="s">
        <v>902</v>
      </c>
      <c r="E53" s="112" t="s">
        <v>903</v>
      </c>
      <c r="F53" s="112" t="s">
        <v>904</v>
      </c>
      <c r="G53" s="112"/>
      <c r="H53" s="112"/>
      <c r="I53" s="112" t="str">
        <f t="shared" si="0"/>
        <v>.0-255</v>
      </c>
    </row>
    <row r="54" spans="1:11" ht="12.75" customHeight="1">
      <c r="A54" s="117" t="str">
        <f>_xlfn.XLOOKUP(B54,Summary!B:B,Summary!C:C,"")</f>
        <v>Whatsminer M60 / M60S</v>
      </c>
      <c r="B54" s="112" t="s">
        <v>689</v>
      </c>
      <c r="C54" s="180" t="s">
        <v>905</v>
      </c>
      <c r="D54" s="112" t="s">
        <v>906</v>
      </c>
      <c r="E54" s="112" t="s">
        <v>907</v>
      </c>
      <c r="F54" s="112" t="s">
        <v>908</v>
      </c>
      <c r="G54" s="112"/>
      <c r="H54" s="112"/>
      <c r="I54" s="112" t="str">
        <f t="shared" si="0"/>
        <v>.0-255</v>
      </c>
    </row>
    <row r="55" spans="1:11" ht="12.75" customHeight="1">
      <c r="G55" s="112"/>
      <c r="H55" s="112"/>
      <c r="I55" s="112" t="str">
        <f t="shared" si="0"/>
        <v>.0-255</v>
      </c>
    </row>
    <row r="56" spans="1:11" ht="12.75" customHeight="1">
      <c r="G56" s="112"/>
      <c r="H56" s="112"/>
      <c r="I56" s="112" t="str">
        <f t="shared" si="0"/>
        <v>.0-255</v>
      </c>
    </row>
    <row r="57" spans="1:11" ht="12.75" customHeight="1">
      <c r="G57" s="112"/>
      <c r="H57" s="180"/>
      <c r="I57" s="112" t="str">
        <f t="shared" si="0"/>
        <v>.0-255</v>
      </c>
    </row>
    <row r="58" spans="1:11" ht="12.75" customHeight="1">
      <c r="G58" s="112"/>
      <c r="H58" s="180"/>
      <c r="I58" s="112" t="str">
        <f t="shared" si="0"/>
        <v>.0-255</v>
      </c>
    </row>
    <row r="59" spans="1:11" ht="12.75" customHeight="1">
      <c r="G59" s="112"/>
      <c r="H59" s="112"/>
      <c r="I59" s="112" t="str">
        <f t="shared" si="0"/>
        <v>.0-255</v>
      </c>
    </row>
    <row r="60" spans="1:11" ht="12.75" customHeight="1">
      <c r="G60" s="112"/>
      <c r="H60" s="112"/>
      <c r="I60" s="112" t="str">
        <f t="shared" si="0"/>
        <v>.0-255</v>
      </c>
    </row>
    <row r="61" spans="1:11" ht="12.75" customHeight="1">
      <c r="G61" s="112"/>
      <c r="H61" s="112"/>
      <c r="I61" s="112" t="str">
        <f t="shared" si="0"/>
        <v>.0-255</v>
      </c>
    </row>
    <row r="62" spans="1:11" ht="12.75" customHeight="1">
      <c r="G62" s="112"/>
      <c r="H62" s="112"/>
      <c r="I62" s="112" t="str">
        <f t="shared" si="0"/>
        <v>.0-255</v>
      </c>
    </row>
    <row r="63" spans="1:11" ht="12.75" customHeight="1">
      <c r="G63" s="112"/>
      <c r="H63" s="180"/>
      <c r="I63" s="112" t="str">
        <f t="shared" si="0"/>
        <v>.0-255</v>
      </c>
    </row>
    <row r="64" spans="1:11" ht="12.75" customHeight="1">
      <c r="G64" s="112"/>
      <c r="H64" s="112"/>
      <c r="I64" s="112" t="str">
        <f t="shared" si="0"/>
        <v>.0-255</v>
      </c>
    </row>
    <row r="65" spans="1:9" ht="12.75" customHeight="1">
      <c r="G65" s="112"/>
      <c r="H65" s="112"/>
      <c r="I65" s="112" t="str">
        <f t="shared" si="0"/>
        <v>.0-255</v>
      </c>
    </row>
    <row r="66" spans="1:9" ht="12.75" customHeight="1">
      <c r="G66" s="112"/>
      <c r="H66" s="112"/>
      <c r="I66" s="112" t="str">
        <f t="shared" ref="I66:I129" si="1">H66&amp;".0-255"</f>
        <v>.0-255</v>
      </c>
    </row>
    <row r="67" spans="1:9" ht="12.75" customHeight="1">
      <c r="G67" s="112"/>
      <c r="H67" s="112"/>
      <c r="I67" s="112" t="str">
        <f t="shared" si="1"/>
        <v>.0-255</v>
      </c>
    </row>
    <row r="68" spans="1:9" ht="12.75" customHeight="1">
      <c r="G68" s="112"/>
      <c r="H68" s="180"/>
      <c r="I68" s="112" t="str">
        <f t="shared" si="1"/>
        <v>.0-255</v>
      </c>
    </row>
    <row r="69" spans="1:9" ht="12.75" customHeight="1">
      <c r="G69" s="112"/>
      <c r="H69" s="112"/>
      <c r="I69" s="112" t="str">
        <f t="shared" si="1"/>
        <v>.0-255</v>
      </c>
    </row>
    <row r="70" spans="1:9" ht="12.75" customHeight="1">
      <c r="G70" s="112"/>
      <c r="H70" s="112"/>
      <c r="I70" s="112" t="str">
        <f t="shared" si="1"/>
        <v>.0-255</v>
      </c>
    </row>
    <row r="71" spans="1:9" ht="12.75" customHeight="1">
      <c r="G71" s="112"/>
      <c r="H71" s="112"/>
      <c r="I71" s="112" t="str">
        <f t="shared" si="1"/>
        <v>.0-255</v>
      </c>
    </row>
    <row r="72" spans="1:9" ht="12.75" customHeight="1">
      <c r="G72" s="112"/>
      <c r="H72" s="112"/>
      <c r="I72" s="112" t="str">
        <f t="shared" si="1"/>
        <v>.0-255</v>
      </c>
    </row>
    <row r="73" spans="1:9" ht="12.75" customHeight="1">
      <c r="A73" s="179"/>
      <c r="G73" s="112"/>
      <c r="H73" s="112"/>
      <c r="I73" s="112" t="str">
        <f t="shared" si="1"/>
        <v>.0-255</v>
      </c>
    </row>
    <row r="74" spans="1:9" ht="12.75" customHeight="1">
      <c r="A74" s="179"/>
      <c r="G74" s="112"/>
      <c r="H74" s="112"/>
      <c r="I74" s="112" t="str">
        <f t="shared" si="1"/>
        <v>.0-255</v>
      </c>
    </row>
    <row r="75" spans="1:9" ht="12.75" customHeight="1">
      <c r="A75" s="179"/>
      <c r="G75" s="112"/>
      <c r="H75" s="112"/>
      <c r="I75" s="112" t="str">
        <f t="shared" si="1"/>
        <v>.0-255</v>
      </c>
    </row>
    <row r="76" spans="1:9" ht="12.75" customHeight="1">
      <c r="A76" s="179"/>
      <c r="G76" s="112"/>
      <c r="H76" s="112"/>
      <c r="I76" s="112" t="str">
        <f t="shared" si="1"/>
        <v>.0-255</v>
      </c>
    </row>
    <row r="77" spans="1:9" ht="12.75" customHeight="1">
      <c r="A77" s="179"/>
      <c r="G77" s="112"/>
      <c r="H77" s="112"/>
      <c r="I77" s="112" t="str">
        <f t="shared" si="1"/>
        <v>.0-255</v>
      </c>
    </row>
    <row r="78" spans="1:9" ht="12.75" customHeight="1">
      <c r="A78" s="179"/>
      <c r="G78" s="112"/>
      <c r="H78" s="112"/>
      <c r="I78" s="112" t="str">
        <f t="shared" si="1"/>
        <v>.0-255</v>
      </c>
    </row>
    <row r="79" spans="1:9" ht="12.75" customHeight="1">
      <c r="A79" s="179"/>
      <c r="G79" s="112"/>
      <c r="H79" s="112"/>
      <c r="I79" s="112" t="str">
        <f t="shared" si="1"/>
        <v>.0-255</v>
      </c>
    </row>
    <row r="80" spans="1:9" ht="12.75" customHeight="1">
      <c r="A80" s="179"/>
      <c r="G80" s="112"/>
      <c r="H80" s="112"/>
      <c r="I80" s="112" t="str">
        <f t="shared" si="1"/>
        <v>.0-255</v>
      </c>
    </row>
    <row r="81" spans="1:14" ht="12.75" customHeight="1">
      <c r="A81" s="179"/>
      <c r="G81" s="112"/>
      <c r="H81" s="112"/>
      <c r="I81" s="112" t="str">
        <f t="shared" si="1"/>
        <v>.0-255</v>
      </c>
    </row>
    <row r="82" spans="1:14" ht="12.75" customHeight="1">
      <c r="A82" s="179"/>
      <c r="G82" s="112"/>
      <c r="H82" s="112"/>
      <c r="I82" s="112" t="str">
        <f t="shared" si="1"/>
        <v>.0-255</v>
      </c>
    </row>
    <row r="83" spans="1:14" ht="12.75" customHeight="1">
      <c r="A83" s="179"/>
      <c r="G83" s="112"/>
      <c r="H83" s="112"/>
      <c r="I83" s="112" t="str">
        <f t="shared" si="1"/>
        <v>.0-255</v>
      </c>
    </row>
    <row r="84" spans="1:14" ht="12.75" customHeight="1">
      <c r="A84" s="179"/>
      <c r="G84" s="112"/>
      <c r="H84" s="112"/>
      <c r="I84" s="112" t="str">
        <f t="shared" si="1"/>
        <v>.0-255</v>
      </c>
    </row>
    <row r="85" spans="1:14" ht="12.75" customHeight="1">
      <c r="A85" s="179"/>
      <c r="G85" s="112"/>
      <c r="H85" s="112"/>
      <c r="I85" s="112" t="str">
        <f t="shared" si="1"/>
        <v>.0-255</v>
      </c>
    </row>
    <row r="86" spans="1:14" ht="12.75" customHeight="1">
      <c r="A86" s="179"/>
      <c r="G86" s="112"/>
      <c r="H86" s="112"/>
      <c r="I86" s="112" t="str">
        <f t="shared" si="1"/>
        <v>.0-255</v>
      </c>
    </row>
    <row r="87" spans="1:14" ht="12.75" customHeight="1">
      <c r="A87" s="179"/>
      <c r="G87" s="112"/>
      <c r="H87" s="112"/>
      <c r="I87" s="112" t="str">
        <f t="shared" si="1"/>
        <v>.0-255</v>
      </c>
    </row>
    <row r="88" spans="1:14" ht="12.75" customHeight="1">
      <c r="A88" s="179"/>
      <c r="G88" s="112"/>
      <c r="H88" s="112"/>
      <c r="I88" s="112" t="str">
        <f t="shared" si="1"/>
        <v>.0-255</v>
      </c>
    </row>
    <row r="89" spans="1:14" ht="12.75" customHeight="1">
      <c r="A89" s="179"/>
      <c r="G89" s="112"/>
      <c r="H89" s="112"/>
      <c r="I89" s="112" t="str">
        <f t="shared" si="1"/>
        <v>.0-255</v>
      </c>
    </row>
    <row r="90" spans="1:14" ht="12.75" customHeight="1">
      <c r="A90" s="179"/>
      <c r="G90" s="112"/>
      <c r="H90" s="112"/>
      <c r="I90" s="112" t="str">
        <f t="shared" si="1"/>
        <v>.0-255</v>
      </c>
      <c r="J90" s="112"/>
      <c r="K90" s="112"/>
      <c r="L90" s="112"/>
      <c r="M90" s="112"/>
      <c r="N90" s="112"/>
    </row>
    <row r="91" spans="1:14" ht="12.75" customHeight="1">
      <c r="A91" s="179"/>
      <c r="G91" s="112"/>
      <c r="H91" s="112"/>
      <c r="I91" s="112" t="str">
        <f t="shared" si="1"/>
        <v>.0-255</v>
      </c>
      <c r="J91" s="112"/>
      <c r="K91" s="112"/>
      <c r="L91" s="112"/>
      <c r="M91" s="112"/>
      <c r="N91" s="112"/>
    </row>
    <row r="92" spans="1:14" ht="12.75" customHeight="1">
      <c r="A92" s="179"/>
      <c r="G92" s="112"/>
      <c r="H92" s="112"/>
      <c r="I92" s="112" t="str">
        <f t="shared" si="1"/>
        <v>.0-255</v>
      </c>
      <c r="J92" s="112"/>
      <c r="K92" s="112"/>
      <c r="L92" s="112"/>
      <c r="M92" s="112"/>
      <c r="N92" s="112"/>
    </row>
    <row r="93" spans="1:14" ht="12.75" customHeight="1">
      <c r="A93" s="179"/>
      <c r="G93" s="112"/>
      <c r="H93" s="112"/>
      <c r="I93" s="112" t="str">
        <f t="shared" si="1"/>
        <v>.0-255</v>
      </c>
      <c r="J93" s="112"/>
      <c r="K93" s="112"/>
      <c r="L93" s="112"/>
      <c r="M93" s="112"/>
      <c r="N93" s="112"/>
    </row>
    <row r="94" spans="1:14" ht="12.75" customHeight="1">
      <c r="A94" s="179"/>
      <c r="G94" s="112"/>
      <c r="H94" s="112"/>
      <c r="I94" s="112" t="str">
        <f t="shared" si="1"/>
        <v>.0-255</v>
      </c>
      <c r="J94" s="112"/>
      <c r="K94" s="112"/>
      <c r="L94" s="112"/>
      <c r="M94" s="112"/>
      <c r="N94" s="112"/>
    </row>
    <row r="95" spans="1:14" ht="12.75" customHeight="1">
      <c r="A95" s="179"/>
      <c r="G95" s="112"/>
      <c r="H95" s="112"/>
      <c r="I95" s="112" t="str">
        <f t="shared" si="1"/>
        <v>.0-255</v>
      </c>
      <c r="J95" s="112"/>
      <c r="K95" s="112"/>
      <c r="L95" s="112"/>
      <c r="M95" s="112"/>
      <c r="N95" s="112"/>
    </row>
    <row r="96" spans="1:14" ht="12.75" customHeight="1">
      <c r="A96" s="179"/>
      <c r="G96" s="112"/>
      <c r="H96" s="112"/>
      <c r="I96" s="112" t="str">
        <f t="shared" si="1"/>
        <v>.0-255</v>
      </c>
      <c r="J96" s="112"/>
      <c r="K96" s="112"/>
      <c r="L96" s="112"/>
      <c r="M96" s="112"/>
      <c r="N96" s="112"/>
    </row>
    <row r="97" spans="1:14" ht="12.75" customHeight="1">
      <c r="A97" s="179"/>
      <c r="G97" s="112"/>
      <c r="H97" s="112"/>
      <c r="I97" s="112" t="str">
        <f t="shared" si="1"/>
        <v>.0-255</v>
      </c>
      <c r="J97" s="112"/>
      <c r="K97" s="112"/>
      <c r="L97" s="112"/>
      <c r="M97" s="112"/>
      <c r="N97" s="112"/>
    </row>
    <row r="98" spans="1:14" ht="12.75" customHeight="1">
      <c r="A98" s="179"/>
      <c r="G98" s="112"/>
      <c r="H98" s="112"/>
      <c r="I98" s="112" t="str">
        <f t="shared" si="1"/>
        <v>.0-255</v>
      </c>
      <c r="J98" s="112"/>
      <c r="K98" s="112"/>
      <c r="L98" s="112"/>
      <c r="M98" s="112"/>
      <c r="N98" s="112"/>
    </row>
    <row r="99" spans="1:14" ht="12.75" customHeight="1">
      <c r="A99" s="179"/>
      <c r="G99" s="112"/>
      <c r="H99" s="112"/>
      <c r="I99" s="112" t="str">
        <f t="shared" si="1"/>
        <v>.0-255</v>
      </c>
      <c r="J99" s="112"/>
      <c r="K99" s="112"/>
      <c r="L99" s="112"/>
      <c r="M99" s="112"/>
      <c r="N99" s="112"/>
    </row>
    <row r="100" spans="1:14" ht="12.75" customHeight="1">
      <c r="A100" s="179"/>
      <c r="G100" s="112"/>
      <c r="H100" s="112"/>
      <c r="I100" s="112" t="str">
        <f t="shared" si="1"/>
        <v>.0-255</v>
      </c>
      <c r="J100" s="112"/>
      <c r="K100" s="112"/>
      <c r="L100" s="112"/>
      <c r="M100" s="112"/>
      <c r="N100" s="112"/>
    </row>
    <row r="101" spans="1:14" ht="12.75" customHeight="1">
      <c r="A101" s="179"/>
      <c r="G101" s="112"/>
      <c r="H101" s="112"/>
      <c r="I101" s="112" t="str">
        <f t="shared" si="1"/>
        <v>.0-255</v>
      </c>
      <c r="J101" s="112"/>
      <c r="K101" s="112"/>
      <c r="L101" s="112"/>
      <c r="M101" s="112"/>
      <c r="N101" s="112"/>
    </row>
    <row r="102" spans="1:14" ht="12.75" customHeight="1">
      <c r="A102" s="179"/>
      <c r="G102" s="112"/>
      <c r="H102" s="112"/>
      <c r="I102" s="112" t="str">
        <f t="shared" si="1"/>
        <v>.0-255</v>
      </c>
      <c r="J102" s="112"/>
      <c r="K102" s="112"/>
      <c r="L102" s="112"/>
      <c r="M102" s="112"/>
      <c r="N102" s="112"/>
    </row>
    <row r="103" spans="1:14" ht="12.75" customHeight="1">
      <c r="A103" s="179"/>
      <c r="G103" s="112"/>
      <c r="H103" s="112"/>
      <c r="I103" s="112" t="str">
        <f t="shared" si="1"/>
        <v>.0-255</v>
      </c>
      <c r="J103" s="112"/>
      <c r="K103" s="112"/>
      <c r="L103" s="112"/>
      <c r="M103" s="112"/>
      <c r="N103" s="112"/>
    </row>
    <row r="104" spans="1:14" ht="12.75" customHeight="1">
      <c r="A104" s="179"/>
      <c r="G104" s="112"/>
      <c r="H104" s="112"/>
      <c r="I104" s="112" t="str">
        <f t="shared" si="1"/>
        <v>.0-255</v>
      </c>
      <c r="J104" s="112"/>
      <c r="K104" s="112"/>
      <c r="L104" s="112"/>
      <c r="M104" s="112"/>
      <c r="N104" s="112"/>
    </row>
    <row r="105" spans="1:14" ht="12.75" customHeight="1">
      <c r="A105" s="179"/>
      <c r="G105" s="112"/>
      <c r="H105" s="112"/>
      <c r="I105" s="112" t="str">
        <f t="shared" si="1"/>
        <v>.0-255</v>
      </c>
      <c r="J105" s="112"/>
      <c r="K105" s="112"/>
      <c r="L105" s="112"/>
      <c r="M105" s="112"/>
      <c r="N105" s="112"/>
    </row>
    <row r="106" spans="1:14" ht="12.75" customHeight="1">
      <c r="A106" s="179"/>
      <c r="G106" s="112"/>
      <c r="H106" s="112"/>
      <c r="I106" s="112" t="str">
        <f t="shared" si="1"/>
        <v>.0-255</v>
      </c>
      <c r="J106" s="112"/>
      <c r="K106" s="112"/>
      <c r="L106" s="112"/>
      <c r="M106" s="112"/>
      <c r="N106" s="112"/>
    </row>
    <row r="107" spans="1:14" ht="12.75" customHeight="1">
      <c r="A107" s="179"/>
      <c r="G107" s="112"/>
      <c r="H107" s="112"/>
      <c r="I107" s="112" t="str">
        <f t="shared" si="1"/>
        <v>.0-255</v>
      </c>
      <c r="J107" s="112"/>
      <c r="K107" s="112"/>
      <c r="L107" s="112"/>
      <c r="M107" s="112"/>
      <c r="N107" s="112"/>
    </row>
    <row r="108" spans="1:14" ht="12.75" customHeight="1">
      <c r="A108" s="179"/>
      <c r="G108" s="112"/>
      <c r="H108" s="112"/>
      <c r="I108" s="112" t="str">
        <f t="shared" si="1"/>
        <v>.0-255</v>
      </c>
      <c r="J108" s="112"/>
      <c r="K108" s="112"/>
      <c r="L108" s="112"/>
      <c r="M108" s="112"/>
      <c r="N108" s="112"/>
    </row>
    <row r="109" spans="1:14" ht="12.75" customHeight="1">
      <c r="A109" s="179"/>
      <c r="G109" s="112"/>
      <c r="H109" s="112"/>
      <c r="I109" s="112" t="str">
        <f t="shared" si="1"/>
        <v>.0-255</v>
      </c>
      <c r="J109" s="112"/>
      <c r="K109" s="112"/>
      <c r="L109" s="112"/>
      <c r="M109" s="112"/>
      <c r="N109" s="112"/>
    </row>
    <row r="110" spans="1:14" ht="12.75" customHeight="1">
      <c r="A110" s="179"/>
      <c r="G110" s="112"/>
      <c r="H110" s="112"/>
      <c r="I110" s="112" t="str">
        <f t="shared" si="1"/>
        <v>.0-255</v>
      </c>
      <c r="J110" s="112"/>
      <c r="K110" s="112"/>
      <c r="L110" s="112"/>
      <c r="M110" s="112"/>
      <c r="N110" s="112"/>
    </row>
    <row r="111" spans="1:14" ht="12.75" customHeight="1">
      <c r="A111" s="179"/>
      <c r="G111" s="112"/>
      <c r="H111" s="112"/>
      <c r="I111" s="112" t="str">
        <f t="shared" si="1"/>
        <v>.0-255</v>
      </c>
      <c r="J111" s="112"/>
      <c r="K111" s="112"/>
      <c r="L111" s="112"/>
      <c r="M111" s="112"/>
      <c r="N111" s="112"/>
    </row>
    <row r="112" spans="1:14" ht="12.75" customHeight="1">
      <c r="A112" s="179"/>
      <c r="G112" s="112"/>
      <c r="H112" s="112"/>
      <c r="I112" s="112" t="str">
        <f t="shared" si="1"/>
        <v>.0-255</v>
      </c>
      <c r="J112" s="112"/>
      <c r="K112" s="112"/>
      <c r="L112" s="112"/>
      <c r="M112" s="112"/>
      <c r="N112" s="112"/>
    </row>
    <row r="113" spans="1:14" ht="12.75" customHeight="1">
      <c r="A113" s="179"/>
      <c r="G113" s="112"/>
      <c r="H113" s="112"/>
      <c r="I113" s="112" t="str">
        <f t="shared" si="1"/>
        <v>.0-255</v>
      </c>
      <c r="J113" s="112"/>
      <c r="K113" s="112"/>
      <c r="L113" s="112"/>
      <c r="M113" s="112"/>
      <c r="N113" s="112"/>
    </row>
    <row r="114" spans="1:14" ht="12.75" customHeight="1">
      <c r="A114" s="179"/>
      <c r="G114" s="112"/>
      <c r="H114" s="112"/>
      <c r="I114" s="112" t="str">
        <f t="shared" si="1"/>
        <v>.0-255</v>
      </c>
      <c r="J114" s="112"/>
      <c r="K114" s="112"/>
      <c r="L114" s="112"/>
      <c r="M114" s="112"/>
      <c r="N114" s="112"/>
    </row>
    <row r="115" spans="1:14" ht="12.75" customHeight="1">
      <c r="A115" s="179"/>
      <c r="G115" s="112"/>
      <c r="H115" s="112"/>
      <c r="I115" s="112" t="str">
        <f t="shared" si="1"/>
        <v>.0-255</v>
      </c>
      <c r="J115" s="112"/>
      <c r="K115" s="112"/>
      <c r="L115" s="112"/>
      <c r="M115" s="112"/>
      <c r="N115" s="112"/>
    </row>
    <row r="116" spans="1:14" ht="12.75" customHeight="1">
      <c r="A116" s="179"/>
      <c r="G116" s="112"/>
      <c r="H116" s="112"/>
      <c r="I116" s="112" t="str">
        <f t="shared" si="1"/>
        <v>.0-255</v>
      </c>
      <c r="J116" s="112"/>
      <c r="K116" s="112"/>
      <c r="L116" s="112"/>
      <c r="M116" s="112"/>
      <c r="N116" s="112"/>
    </row>
    <row r="117" spans="1:14" ht="12.75" customHeight="1">
      <c r="A117" s="179"/>
      <c r="G117" s="112"/>
      <c r="H117" s="112"/>
      <c r="I117" s="112" t="str">
        <f t="shared" si="1"/>
        <v>.0-255</v>
      </c>
      <c r="J117" s="112"/>
      <c r="K117" s="112"/>
      <c r="L117" s="112"/>
      <c r="M117" s="112"/>
      <c r="N117" s="112"/>
    </row>
    <row r="118" spans="1:14" ht="12.75" customHeight="1">
      <c r="A118" s="179"/>
      <c r="G118" s="112"/>
      <c r="H118" s="112"/>
      <c r="I118" s="112" t="str">
        <f t="shared" si="1"/>
        <v>.0-255</v>
      </c>
      <c r="J118" s="112"/>
      <c r="K118" s="112"/>
      <c r="L118" s="112"/>
      <c r="M118" s="112"/>
      <c r="N118" s="112"/>
    </row>
    <row r="119" spans="1:14" ht="12.75" customHeight="1">
      <c r="A119" s="179"/>
      <c r="G119" s="112"/>
      <c r="H119" s="112"/>
      <c r="I119" s="112" t="str">
        <f t="shared" si="1"/>
        <v>.0-255</v>
      </c>
      <c r="J119" s="112"/>
      <c r="K119" s="112"/>
      <c r="L119" s="112"/>
      <c r="M119" s="112"/>
      <c r="N119" s="112"/>
    </row>
    <row r="120" spans="1:14" ht="12.75" customHeight="1">
      <c r="A120" s="179"/>
      <c r="G120" s="112"/>
      <c r="H120" s="112"/>
      <c r="I120" s="112" t="str">
        <f t="shared" si="1"/>
        <v>.0-255</v>
      </c>
      <c r="J120" s="112"/>
      <c r="K120" s="112"/>
      <c r="L120" s="112"/>
      <c r="M120" s="112"/>
      <c r="N120" s="112"/>
    </row>
    <row r="121" spans="1:14" ht="12.75" customHeight="1">
      <c r="A121" s="179"/>
      <c r="G121" s="112"/>
      <c r="H121" s="112"/>
      <c r="I121" s="112" t="str">
        <f t="shared" si="1"/>
        <v>.0-255</v>
      </c>
      <c r="J121" s="112"/>
      <c r="K121" s="112"/>
      <c r="L121" s="112"/>
      <c r="M121" s="112"/>
      <c r="N121" s="112"/>
    </row>
    <row r="122" spans="1:14" ht="12.75" customHeight="1">
      <c r="A122" s="179"/>
      <c r="G122" s="112"/>
      <c r="H122" s="112"/>
      <c r="I122" s="112" t="str">
        <f t="shared" si="1"/>
        <v>.0-255</v>
      </c>
      <c r="J122" s="112"/>
      <c r="K122" s="112"/>
      <c r="L122" s="112"/>
      <c r="M122" s="112"/>
      <c r="N122" s="112"/>
    </row>
    <row r="123" spans="1:14" ht="12.75" customHeight="1">
      <c r="A123" s="179"/>
      <c r="G123" s="112"/>
      <c r="H123" s="112"/>
      <c r="I123" s="112" t="str">
        <f t="shared" si="1"/>
        <v>.0-255</v>
      </c>
      <c r="J123" s="112"/>
      <c r="K123" s="112"/>
      <c r="L123" s="112"/>
      <c r="M123" s="112"/>
      <c r="N123" s="112"/>
    </row>
    <row r="124" spans="1:14" ht="12.75" customHeight="1">
      <c r="A124" s="179"/>
      <c r="G124" s="112"/>
      <c r="H124" s="112"/>
      <c r="I124" s="112" t="str">
        <f t="shared" si="1"/>
        <v>.0-255</v>
      </c>
      <c r="J124" s="112"/>
      <c r="K124" s="112"/>
      <c r="L124" s="112"/>
      <c r="M124" s="112"/>
      <c r="N124" s="112"/>
    </row>
    <row r="125" spans="1:14" ht="12.75" customHeight="1">
      <c r="A125" s="179"/>
      <c r="G125" s="112"/>
      <c r="H125" s="112"/>
      <c r="I125" s="112" t="str">
        <f t="shared" si="1"/>
        <v>.0-255</v>
      </c>
      <c r="J125" s="112"/>
      <c r="K125" s="112"/>
      <c r="L125" s="112"/>
      <c r="M125" s="112"/>
      <c r="N125" s="112"/>
    </row>
    <row r="126" spans="1:14" ht="12.75" customHeight="1">
      <c r="A126" s="179"/>
      <c r="G126" s="112"/>
      <c r="H126" s="112"/>
      <c r="I126" s="112" t="str">
        <f t="shared" si="1"/>
        <v>.0-255</v>
      </c>
      <c r="J126" s="112"/>
      <c r="K126" s="112"/>
      <c r="L126" s="112"/>
      <c r="M126" s="112"/>
      <c r="N126" s="112"/>
    </row>
    <row r="127" spans="1:14" ht="12.75" customHeight="1">
      <c r="A127" s="179"/>
      <c r="G127" s="112"/>
      <c r="H127" s="112"/>
      <c r="I127" s="112" t="str">
        <f t="shared" si="1"/>
        <v>.0-255</v>
      </c>
      <c r="J127" s="112"/>
      <c r="K127" s="112"/>
      <c r="L127" s="112"/>
      <c r="M127" s="112"/>
      <c r="N127" s="112"/>
    </row>
    <row r="128" spans="1:14" ht="12.75" customHeight="1">
      <c r="A128" s="179"/>
      <c r="G128" s="112"/>
      <c r="H128" s="112"/>
      <c r="I128" s="112" t="str">
        <f t="shared" si="1"/>
        <v>.0-255</v>
      </c>
      <c r="J128" s="112"/>
      <c r="K128" s="112"/>
      <c r="L128" s="112"/>
      <c r="M128" s="112"/>
      <c r="N128" s="112"/>
    </row>
    <row r="129" spans="1:14" ht="12.75" customHeight="1">
      <c r="A129" s="179"/>
      <c r="G129" s="112"/>
      <c r="H129" s="112"/>
      <c r="I129" s="112" t="str">
        <f t="shared" si="1"/>
        <v>.0-255</v>
      </c>
      <c r="J129" s="112"/>
      <c r="K129" s="112"/>
      <c r="L129" s="112"/>
      <c r="M129" s="112"/>
      <c r="N129" s="112"/>
    </row>
    <row r="130" spans="1:14" ht="12.75" customHeight="1">
      <c r="A130" s="179"/>
      <c r="G130" s="112"/>
      <c r="H130" s="112"/>
      <c r="I130" s="112" t="str">
        <f t="shared" ref="I130:I193" si="2">H130&amp;".0-255"</f>
        <v>.0-255</v>
      </c>
      <c r="J130" s="112"/>
      <c r="K130" s="112"/>
      <c r="L130" s="112"/>
      <c r="M130" s="112"/>
      <c r="N130" s="112"/>
    </row>
    <row r="131" spans="1:14" ht="12.75" customHeight="1">
      <c r="A131" s="179"/>
      <c r="G131" s="112"/>
      <c r="H131" s="112"/>
      <c r="I131" s="112" t="str">
        <f t="shared" si="2"/>
        <v>.0-255</v>
      </c>
      <c r="J131" s="112"/>
      <c r="K131" s="112"/>
      <c r="L131" s="112"/>
      <c r="M131" s="112"/>
      <c r="N131" s="112"/>
    </row>
    <row r="132" spans="1:14" ht="12.75" customHeight="1">
      <c r="A132" s="179"/>
      <c r="G132" s="112"/>
      <c r="H132" s="112"/>
      <c r="I132" s="112" t="str">
        <f t="shared" si="2"/>
        <v>.0-255</v>
      </c>
      <c r="J132" s="112"/>
      <c r="K132" s="112"/>
      <c r="L132" s="112"/>
      <c r="M132" s="112"/>
      <c r="N132" s="112"/>
    </row>
    <row r="133" spans="1:14" ht="12.75" customHeight="1">
      <c r="A133" s="179"/>
      <c r="G133" s="112"/>
      <c r="H133" s="112"/>
      <c r="I133" s="112" t="str">
        <f t="shared" si="2"/>
        <v>.0-255</v>
      </c>
      <c r="J133" s="112"/>
      <c r="K133" s="112"/>
      <c r="L133" s="112"/>
      <c r="M133" s="112"/>
      <c r="N133" s="112"/>
    </row>
    <row r="134" spans="1:14" ht="12.75" customHeight="1">
      <c r="A134" s="179"/>
      <c r="G134" s="112"/>
      <c r="H134" s="112"/>
      <c r="I134" s="112" t="str">
        <f t="shared" si="2"/>
        <v>.0-255</v>
      </c>
      <c r="J134" s="112"/>
      <c r="K134" s="112"/>
      <c r="L134" s="112"/>
      <c r="M134" s="112"/>
      <c r="N134" s="112"/>
    </row>
    <row r="135" spans="1:14" ht="12.75" customHeight="1">
      <c r="A135" s="179"/>
      <c r="G135" s="112"/>
      <c r="H135" s="112"/>
      <c r="I135" s="112" t="str">
        <f t="shared" si="2"/>
        <v>.0-255</v>
      </c>
      <c r="J135" s="112"/>
      <c r="K135" s="112"/>
      <c r="L135" s="112"/>
      <c r="M135" s="112"/>
      <c r="N135" s="112"/>
    </row>
    <row r="136" spans="1:14" ht="12.75" customHeight="1">
      <c r="A136" s="179"/>
      <c r="G136" s="112"/>
      <c r="H136" s="112"/>
      <c r="I136" s="112" t="str">
        <f t="shared" si="2"/>
        <v>.0-255</v>
      </c>
      <c r="J136" s="112"/>
      <c r="K136" s="112"/>
      <c r="L136" s="112"/>
      <c r="M136" s="112"/>
      <c r="N136" s="112"/>
    </row>
    <row r="137" spans="1:14" ht="12.75" customHeight="1">
      <c r="A137" s="179"/>
      <c r="G137" s="112"/>
      <c r="H137" s="112"/>
      <c r="I137" s="112" t="str">
        <f t="shared" si="2"/>
        <v>.0-255</v>
      </c>
      <c r="J137" s="112"/>
      <c r="K137" s="112"/>
      <c r="L137" s="112"/>
      <c r="M137" s="112"/>
      <c r="N137" s="112"/>
    </row>
    <row r="138" spans="1:14" ht="12.75" customHeight="1">
      <c r="A138" s="179"/>
      <c r="G138" s="112"/>
      <c r="H138" s="112"/>
      <c r="I138" s="112" t="str">
        <f t="shared" si="2"/>
        <v>.0-255</v>
      </c>
      <c r="J138" s="112"/>
      <c r="K138" s="112"/>
      <c r="L138" s="112"/>
      <c r="M138" s="112"/>
      <c r="N138" s="112"/>
    </row>
    <row r="139" spans="1:14" ht="12.75" customHeight="1">
      <c r="A139" s="179"/>
      <c r="G139" s="112"/>
      <c r="H139" s="112"/>
      <c r="I139" s="112" t="str">
        <f t="shared" si="2"/>
        <v>.0-255</v>
      </c>
      <c r="J139" s="112"/>
      <c r="K139" s="112"/>
      <c r="L139" s="112"/>
      <c r="M139" s="112"/>
      <c r="N139" s="112"/>
    </row>
    <row r="140" spans="1:14" ht="12.75" customHeight="1">
      <c r="A140" s="179"/>
      <c r="G140" s="112"/>
      <c r="H140" s="112"/>
      <c r="I140" s="112" t="str">
        <f t="shared" si="2"/>
        <v>.0-255</v>
      </c>
      <c r="J140" s="112"/>
      <c r="K140" s="112"/>
      <c r="L140" s="112"/>
      <c r="M140" s="112"/>
      <c r="N140" s="112"/>
    </row>
    <row r="141" spans="1:14" ht="12.75" customHeight="1">
      <c r="A141" s="179"/>
      <c r="G141" s="112"/>
      <c r="H141" s="112"/>
      <c r="I141" s="112" t="str">
        <f t="shared" si="2"/>
        <v>.0-255</v>
      </c>
      <c r="J141" s="112"/>
      <c r="K141" s="112"/>
      <c r="L141" s="112"/>
      <c r="M141" s="112"/>
      <c r="N141" s="112"/>
    </row>
    <row r="142" spans="1:14" ht="12.75" customHeight="1">
      <c r="A142" s="179"/>
      <c r="G142" s="112"/>
      <c r="H142" s="112"/>
      <c r="I142" s="112" t="str">
        <f t="shared" si="2"/>
        <v>.0-255</v>
      </c>
      <c r="J142" s="112"/>
      <c r="K142" s="112"/>
      <c r="L142" s="112"/>
      <c r="M142" s="112"/>
      <c r="N142" s="112"/>
    </row>
    <row r="143" spans="1:14" ht="12.75" customHeight="1">
      <c r="A143" s="179"/>
      <c r="G143" s="112"/>
      <c r="H143" s="112"/>
      <c r="I143" s="112" t="str">
        <f t="shared" si="2"/>
        <v>.0-255</v>
      </c>
      <c r="J143" s="112"/>
      <c r="K143" s="112"/>
      <c r="L143" s="112"/>
      <c r="M143" s="112"/>
      <c r="N143" s="112"/>
    </row>
    <row r="144" spans="1:14" ht="12.75" customHeight="1">
      <c r="A144" s="179"/>
      <c r="G144" s="112"/>
      <c r="H144" s="112"/>
      <c r="I144" s="112" t="str">
        <f t="shared" si="2"/>
        <v>.0-255</v>
      </c>
      <c r="J144" s="112"/>
      <c r="K144" s="112"/>
      <c r="L144" s="112"/>
      <c r="M144" s="112"/>
      <c r="N144" s="112"/>
    </row>
    <row r="145" spans="1:14" ht="12.75" customHeight="1">
      <c r="A145" s="179"/>
      <c r="G145" s="112"/>
      <c r="H145" s="112"/>
      <c r="I145" s="112" t="str">
        <f t="shared" si="2"/>
        <v>.0-255</v>
      </c>
      <c r="J145" s="112"/>
      <c r="K145" s="112"/>
      <c r="L145" s="112"/>
      <c r="M145" s="112"/>
      <c r="N145" s="112"/>
    </row>
    <row r="146" spans="1:14" ht="12.75" customHeight="1">
      <c r="A146" s="179"/>
      <c r="G146" s="112"/>
      <c r="H146" s="112"/>
      <c r="I146" s="112" t="str">
        <f t="shared" si="2"/>
        <v>.0-255</v>
      </c>
      <c r="J146" s="112"/>
      <c r="K146" s="112"/>
      <c r="L146" s="112"/>
      <c r="M146" s="112"/>
      <c r="N146" s="112"/>
    </row>
    <row r="147" spans="1:14" ht="12.75" customHeight="1">
      <c r="A147" s="179"/>
      <c r="G147" s="112"/>
      <c r="H147" s="112"/>
      <c r="I147" s="112" t="str">
        <f t="shared" si="2"/>
        <v>.0-255</v>
      </c>
      <c r="J147" s="112"/>
      <c r="K147" s="112"/>
      <c r="L147" s="112"/>
      <c r="M147" s="112"/>
      <c r="N147" s="112"/>
    </row>
    <row r="148" spans="1:14" ht="12.75" customHeight="1">
      <c r="A148" s="179"/>
      <c r="G148" s="112"/>
      <c r="H148" s="112"/>
      <c r="I148" s="112" t="str">
        <f t="shared" si="2"/>
        <v>.0-255</v>
      </c>
      <c r="J148" s="112"/>
      <c r="K148" s="112"/>
      <c r="L148" s="112"/>
      <c r="M148" s="112"/>
      <c r="N148" s="112"/>
    </row>
    <row r="149" spans="1:14" ht="12.75" customHeight="1">
      <c r="A149" s="179"/>
      <c r="G149" s="112"/>
      <c r="H149" s="112"/>
      <c r="I149" s="112" t="str">
        <f t="shared" si="2"/>
        <v>.0-255</v>
      </c>
      <c r="J149" s="112"/>
      <c r="K149" s="112"/>
      <c r="L149" s="112"/>
      <c r="M149" s="112"/>
      <c r="N149" s="112"/>
    </row>
    <row r="150" spans="1:14" ht="12.75" customHeight="1">
      <c r="A150" s="179"/>
      <c r="G150" s="112"/>
      <c r="H150" s="112"/>
      <c r="I150" s="112" t="str">
        <f t="shared" si="2"/>
        <v>.0-255</v>
      </c>
      <c r="J150" s="112"/>
      <c r="K150" s="112"/>
      <c r="L150" s="112"/>
      <c r="M150" s="112"/>
      <c r="N150" s="112"/>
    </row>
    <row r="151" spans="1:14" ht="12.75" customHeight="1">
      <c r="A151" s="179"/>
      <c r="G151" s="112"/>
      <c r="H151" s="112"/>
      <c r="I151" s="112" t="str">
        <f t="shared" si="2"/>
        <v>.0-255</v>
      </c>
      <c r="J151" s="112"/>
      <c r="K151" s="112"/>
      <c r="L151" s="112"/>
      <c r="M151" s="112"/>
      <c r="N151" s="112"/>
    </row>
    <row r="152" spans="1:14" ht="12.75" customHeight="1">
      <c r="A152" s="179"/>
      <c r="G152" s="112"/>
      <c r="H152" s="112"/>
      <c r="I152" s="112" t="str">
        <f t="shared" si="2"/>
        <v>.0-255</v>
      </c>
      <c r="J152" s="112"/>
      <c r="K152" s="112"/>
      <c r="L152" s="112"/>
      <c r="M152" s="112"/>
      <c r="N152" s="112"/>
    </row>
    <row r="153" spans="1:14" ht="12.75" customHeight="1">
      <c r="A153" s="179"/>
      <c r="G153" s="112"/>
      <c r="H153" s="112"/>
      <c r="I153" s="112" t="str">
        <f t="shared" si="2"/>
        <v>.0-255</v>
      </c>
      <c r="J153" s="112"/>
      <c r="K153" s="112"/>
      <c r="L153" s="112"/>
      <c r="M153" s="112"/>
      <c r="N153" s="112"/>
    </row>
    <row r="154" spans="1:14" ht="12.75" customHeight="1">
      <c r="A154" s="179"/>
      <c r="G154" s="112"/>
      <c r="H154" s="112"/>
      <c r="I154" s="112" t="str">
        <f t="shared" si="2"/>
        <v>.0-255</v>
      </c>
      <c r="J154" s="112"/>
      <c r="K154" s="112"/>
      <c r="L154" s="112"/>
      <c r="M154" s="112"/>
      <c r="N154" s="112"/>
    </row>
    <row r="155" spans="1:14" ht="12.75" customHeight="1">
      <c r="A155" s="179"/>
      <c r="G155" s="112"/>
      <c r="H155" s="112"/>
      <c r="I155" s="112" t="str">
        <f t="shared" si="2"/>
        <v>.0-255</v>
      </c>
      <c r="J155" s="112"/>
      <c r="K155" s="112"/>
      <c r="L155" s="112"/>
      <c r="M155" s="112"/>
      <c r="N155" s="112"/>
    </row>
    <row r="156" spans="1:14" ht="12.75" customHeight="1">
      <c r="A156" s="179"/>
      <c r="G156" s="112"/>
      <c r="H156" s="112"/>
      <c r="I156" s="112" t="str">
        <f t="shared" si="2"/>
        <v>.0-255</v>
      </c>
      <c r="J156" s="112"/>
      <c r="K156" s="112"/>
      <c r="L156" s="112"/>
      <c r="M156" s="112"/>
      <c r="N156" s="112"/>
    </row>
    <row r="157" spans="1:14" ht="12.75" customHeight="1">
      <c r="A157" s="179"/>
      <c r="G157" s="112"/>
      <c r="H157" s="112"/>
      <c r="I157" s="112" t="str">
        <f t="shared" si="2"/>
        <v>.0-255</v>
      </c>
      <c r="J157" s="112"/>
      <c r="K157" s="112"/>
      <c r="L157" s="112"/>
      <c r="M157" s="112"/>
      <c r="N157" s="112"/>
    </row>
    <row r="158" spans="1:14" ht="12.75" customHeight="1">
      <c r="A158" s="179"/>
      <c r="G158" s="112"/>
      <c r="H158" s="112"/>
      <c r="I158" s="112" t="str">
        <f t="shared" si="2"/>
        <v>.0-255</v>
      </c>
      <c r="J158" s="112"/>
      <c r="K158" s="112"/>
      <c r="L158" s="112"/>
      <c r="M158" s="112"/>
      <c r="N158" s="112"/>
    </row>
    <row r="159" spans="1:14" ht="12.75" customHeight="1">
      <c r="A159" s="179"/>
      <c r="G159" s="112"/>
      <c r="H159" s="112"/>
      <c r="I159" s="112" t="str">
        <f t="shared" si="2"/>
        <v>.0-255</v>
      </c>
      <c r="J159" s="112"/>
      <c r="K159" s="112"/>
      <c r="L159" s="112"/>
      <c r="M159" s="112"/>
      <c r="N159" s="112"/>
    </row>
    <row r="160" spans="1:14" ht="12.75" customHeight="1">
      <c r="A160" s="179"/>
      <c r="G160" s="112"/>
      <c r="H160" s="112"/>
      <c r="I160" s="112" t="str">
        <f t="shared" si="2"/>
        <v>.0-255</v>
      </c>
      <c r="J160" s="112"/>
      <c r="K160" s="112"/>
      <c r="L160" s="112"/>
      <c r="M160" s="112"/>
      <c r="N160" s="112"/>
    </row>
    <row r="161" spans="1:14" ht="12.75" customHeight="1">
      <c r="A161" s="179"/>
      <c r="G161" s="112"/>
      <c r="H161" s="112"/>
      <c r="I161" s="112" t="str">
        <f t="shared" si="2"/>
        <v>.0-255</v>
      </c>
      <c r="J161" s="112"/>
      <c r="K161" s="112"/>
      <c r="L161" s="112"/>
      <c r="M161" s="112"/>
      <c r="N161" s="112"/>
    </row>
    <row r="162" spans="1:14" ht="12.75" customHeight="1">
      <c r="A162" s="179"/>
      <c r="G162" s="112"/>
      <c r="H162" s="112"/>
      <c r="I162" s="112" t="str">
        <f t="shared" si="2"/>
        <v>.0-255</v>
      </c>
      <c r="J162" s="112"/>
      <c r="K162" s="112"/>
      <c r="L162" s="112"/>
      <c r="M162" s="112"/>
      <c r="N162" s="112"/>
    </row>
    <row r="163" spans="1:14" ht="12.75" customHeight="1">
      <c r="A163" s="179"/>
      <c r="G163" s="112"/>
      <c r="H163" s="112"/>
      <c r="I163" s="112" t="str">
        <f t="shared" si="2"/>
        <v>.0-255</v>
      </c>
      <c r="J163" s="112"/>
      <c r="K163" s="112"/>
      <c r="L163" s="112"/>
      <c r="M163" s="112"/>
      <c r="N163" s="112"/>
    </row>
    <row r="164" spans="1:14" ht="12.75" customHeight="1">
      <c r="A164" s="179"/>
      <c r="G164" s="112"/>
      <c r="H164" s="112"/>
      <c r="I164" s="112" t="str">
        <f t="shared" si="2"/>
        <v>.0-255</v>
      </c>
      <c r="J164" s="112"/>
      <c r="K164" s="112"/>
      <c r="L164" s="112"/>
      <c r="M164" s="112"/>
      <c r="N164" s="112"/>
    </row>
    <row r="165" spans="1:14" ht="12.75" customHeight="1">
      <c r="A165" s="179"/>
      <c r="G165" s="112"/>
      <c r="H165" s="112"/>
      <c r="I165" s="112" t="str">
        <f t="shared" si="2"/>
        <v>.0-255</v>
      </c>
      <c r="J165" s="112"/>
      <c r="K165" s="112"/>
      <c r="L165" s="112"/>
      <c r="M165" s="112"/>
      <c r="N165" s="112"/>
    </row>
    <row r="166" spans="1:14" ht="12.75" customHeight="1">
      <c r="A166" s="179"/>
      <c r="G166" s="112"/>
      <c r="H166" s="112"/>
      <c r="I166" s="112" t="str">
        <f t="shared" si="2"/>
        <v>.0-255</v>
      </c>
      <c r="J166" s="112"/>
      <c r="K166" s="112"/>
      <c r="L166" s="112"/>
      <c r="M166" s="112"/>
      <c r="N166" s="112"/>
    </row>
    <row r="167" spans="1:14" ht="12.75" customHeight="1">
      <c r="A167" s="179"/>
      <c r="G167" s="112"/>
      <c r="H167" s="112"/>
      <c r="I167" s="112" t="str">
        <f t="shared" si="2"/>
        <v>.0-255</v>
      </c>
      <c r="J167" s="112"/>
      <c r="K167" s="112"/>
      <c r="L167" s="112"/>
      <c r="M167" s="112"/>
      <c r="N167" s="112"/>
    </row>
    <row r="168" spans="1:14" ht="12.75" customHeight="1">
      <c r="A168" s="179"/>
      <c r="G168" s="112"/>
      <c r="H168" s="112"/>
      <c r="I168" s="112" t="str">
        <f t="shared" si="2"/>
        <v>.0-255</v>
      </c>
      <c r="J168" s="112"/>
      <c r="K168" s="112"/>
      <c r="L168" s="112"/>
      <c r="M168" s="112"/>
      <c r="N168" s="112"/>
    </row>
    <row r="169" spans="1:14" ht="12.75" customHeight="1">
      <c r="A169" s="179"/>
      <c r="G169" s="112"/>
      <c r="H169" s="112"/>
      <c r="I169" s="112" t="str">
        <f t="shared" si="2"/>
        <v>.0-255</v>
      </c>
      <c r="J169" s="112"/>
      <c r="K169" s="112"/>
      <c r="L169" s="112"/>
      <c r="M169" s="112"/>
      <c r="N169" s="112"/>
    </row>
    <row r="170" spans="1:14" ht="12.75" customHeight="1">
      <c r="A170" s="179"/>
      <c r="G170" s="112"/>
      <c r="H170" s="112"/>
      <c r="I170" s="112" t="str">
        <f t="shared" si="2"/>
        <v>.0-255</v>
      </c>
      <c r="J170" s="112"/>
      <c r="K170" s="112"/>
      <c r="L170" s="112"/>
      <c r="M170" s="112"/>
      <c r="N170" s="112"/>
    </row>
    <row r="171" spans="1:14" ht="12.75" customHeight="1">
      <c r="A171" s="179"/>
      <c r="G171" s="112"/>
      <c r="H171" s="112"/>
      <c r="I171" s="112" t="str">
        <f t="shared" si="2"/>
        <v>.0-255</v>
      </c>
      <c r="J171" s="112"/>
      <c r="K171" s="112"/>
      <c r="L171" s="112"/>
      <c r="M171" s="112"/>
      <c r="N171" s="112"/>
    </row>
    <row r="172" spans="1:14" ht="12.75" customHeight="1">
      <c r="A172" s="179"/>
      <c r="G172" s="112"/>
      <c r="H172" s="112"/>
      <c r="I172" s="112" t="str">
        <f t="shared" si="2"/>
        <v>.0-255</v>
      </c>
      <c r="J172" s="112"/>
      <c r="K172" s="112"/>
      <c r="L172" s="112"/>
      <c r="M172" s="112"/>
      <c r="N172" s="112"/>
    </row>
    <row r="173" spans="1:14" ht="12.75" customHeight="1">
      <c r="A173" s="179"/>
      <c r="G173" s="112"/>
      <c r="H173" s="112"/>
      <c r="I173" s="112" t="str">
        <f t="shared" si="2"/>
        <v>.0-255</v>
      </c>
      <c r="J173" s="112"/>
      <c r="K173" s="112"/>
      <c r="L173" s="112"/>
      <c r="M173" s="112"/>
      <c r="N173" s="112"/>
    </row>
    <row r="174" spans="1:14" ht="12.75" customHeight="1">
      <c r="A174" s="179"/>
      <c r="G174" s="112"/>
      <c r="H174" s="112"/>
      <c r="I174" s="112" t="str">
        <f t="shared" si="2"/>
        <v>.0-255</v>
      </c>
      <c r="J174" s="112"/>
      <c r="K174" s="112"/>
      <c r="L174" s="112"/>
      <c r="M174" s="112"/>
      <c r="N174" s="112"/>
    </row>
    <row r="175" spans="1:14" ht="12.75" customHeight="1">
      <c r="A175" s="179"/>
      <c r="G175" s="112"/>
      <c r="H175" s="112"/>
      <c r="I175" s="112" t="str">
        <f t="shared" si="2"/>
        <v>.0-255</v>
      </c>
      <c r="J175" s="112"/>
      <c r="K175" s="112"/>
      <c r="L175" s="112"/>
      <c r="M175" s="112"/>
      <c r="N175" s="112"/>
    </row>
    <row r="176" spans="1:14" ht="12.75" customHeight="1">
      <c r="A176" s="179"/>
      <c r="G176" s="112"/>
      <c r="H176" s="112"/>
      <c r="I176" s="112" t="str">
        <f t="shared" si="2"/>
        <v>.0-255</v>
      </c>
      <c r="J176" s="112"/>
      <c r="K176" s="112"/>
      <c r="L176" s="112"/>
      <c r="M176" s="112"/>
      <c r="N176" s="112"/>
    </row>
    <row r="177" spans="1:14" ht="12.75" customHeight="1">
      <c r="A177" s="179"/>
      <c r="G177" s="112"/>
      <c r="H177" s="112"/>
      <c r="I177" s="112" t="str">
        <f t="shared" si="2"/>
        <v>.0-255</v>
      </c>
      <c r="J177" s="112"/>
      <c r="K177" s="112"/>
      <c r="L177" s="112"/>
      <c r="M177" s="112"/>
      <c r="N177" s="112"/>
    </row>
    <row r="178" spans="1:14" ht="12.75" customHeight="1">
      <c r="A178" s="179"/>
      <c r="G178" s="112"/>
      <c r="H178" s="112"/>
      <c r="I178" s="112" t="str">
        <f t="shared" si="2"/>
        <v>.0-255</v>
      </c>
      <c r="J178" s="112"/>
      <c r="K178" s="112"/>
      <c r="L178" s="112"/>
      <c r="M178" s="112"/>
      <c r="N178" s="112"/>
    </row>
    <row r="179" spans="1:14" ht="12.75" customHeight="1">
      <c r="A179" s="179"/>
      <c r="G179" s="112"/>
      <c r="H179" s="112"/>
      <c r="I179" s="112" t="str">
        <f t="shared" si="2"/>
        <v>.0-255</v>
      </c>
      <c r="J179" s="112"/>
      <c r="K179" s="112"/>
      <c r="L179" s="112"/>
      <c r="M179" s="112"/>
      <c r="N179" s="112"/>
    </row>
    <row r="180" spans="1:14" ht="12.75" customHeight="1">
      <c r="A180" s="179"/>
      <c r="G180" s="112"/>
      <c r="H180" s="112"/>
      <c r="I180" s="112" t="str">
        <f t="shared" si="2"/>
        <v>.0-255</v>
      </c>
      <c r="J180" s="112"/>
      <c r="K180" s="112"/>
      <c r="L180" s="112"/>
      <c r="M180" s="112"/>
      <c r="N180" s="112"/>
    </row>
    <row r="181" spans="1:14" ht="12.75" customHeight="1">
      <c r="A181" s="179"/>
      <c r="G181" s="112"/>
      <c r="H181" s="112"/>
      <c r="I181" s="112" t="str">
        <f t="shared" si="2"/>
        <v>.0-255</v>
      </c>
      <c r="J181" s="112"/>
      <c r="K181" s="112"/>
      <c r="L181" s="112"/>
      <c r="M181" s="112"/>
      <c r="N181" s="112"/>
    </row>
    <row r="182" spans="1:14" ht="12.75" customHeight="1">
      <c r="A182" s="179"/>
      <c r="G182" s="112"/>
      <c r="H182" s="112"/>
      <c r="I182" s="112" t="str">
        <f t="shared" si="2"/>
        <v>.0-255</v>
      </c>
      <c r="J182" s="112"/>
      <c r="K182" s="112"/>
      <c r="L182" s="112"/>
      <c r="M182" s="112"/>
      <c r="N182" s="112"/>
    </row>
    <row r="183" spans="1:14" ht="12.75" customHeight="1">
      <c r="A183" s="179"/>
      <c r="G183" s="112"/>
      <c r="H183" s="112"/>
      <c r="I183" s="112" t="str">
        <f t="shared" si="2"/>
        <v>.0-255</v>
      </c>
      <c r="J183" s="112"/>
      <c r="K183" s="112"/>
      <c r="L183" s="112"/>
      <c r="M183" s="112"/>
      <c r="N183" s="112"/>
    </row>
    <row r="184" spans="1:14" ht="12.75" customHeight="1">
      <c r="A184" s="179"/>
      <c r="G184" s="112"/>
      <c r="H184" s="112"/>
      <c r="I184" s="112" t="str">
        <f t="shared" si="2"/>
        <v>.0-255</v>
      </c>
      <c r="J184" s="112"/>
      <c r="K184" s="112"/>
      <c r="L184" s="112"/>
      <c r="M184" s="112"/>
      <c r="N184" s="112"/>
    </row>
    <row r="185" spans="1:14" ht="12.75" customHeight="1">
      <c r="A185" s="179"/>
      <c r="G185" s="112"/>
      <c r="H185" s="112"/>
      <c r="I185" s="112" t="str">
        <f t="shared" si="2"/>
        <v>.0-255</v>
      </c>
      <c r="J185" s="112"/>
      <c r="K185" s="112"/>
      <c r="L185" s="112"/>
      <c r="M185" s="112"/>
      <c r="N185" s="112"/>
    </row>
    <row r="186" spans="1:14" ht="12.75" customHeight="1">
      <c r="A186" s="179"/>
      <c r="G186" s="112"/>
      <c r="H186" s="112"/>
      <c r="I186" s="112" t="str">
        <f t="shared" si="2"/>
        <v>.0-255</v>
      </c>
      <c r="J186" s="112"/>
      <c r="K186" s="112"/>
      <c r="L186" s="112"/>
      <c r="M186" s="112"/>
      <c r="N186" s="112"/>
    </row>
    <row r="187" spans="1:14" ht="12.75" customHeight="1">
      <c r="A187" s="181"/>
      <c r="C187" s="178"/>
      <c r="D187" s="178"/>
      <c r="E187" s="178"/>
      <c r="F187" s="178"/>
      <c r="G187" s="112"/>
      <c r="H187" s="112"/>
      <c r="I187" s="112" t="str">
        <f t="shared" si="2"/>
        <v>.0-255</v>
      </c>
      <c r="J187" s="112"/>
      <c r="K187" s="112"/>
      <c r="L187" s="112"/>
      <c r="M187" s="112"/>
      <c r="N187" s="112"/>
    </row>
    <row r="188" spans="1:14" ht="12.75" customHeight="1">
      <c r="A188" s="181"/>
      <c r="C188" s="178"/>
      <c r="D188" s="178"/>
      <c r="E188" s="178"/>
      <c r="F188" s="178"/>
      <c r="G188" s="112"/>
      <c r="H188" s="112"/>
      <c r="I188" s="112" t="str">
        <f t="shared" si="2"/>
        <v>.0-255</v>
      </c>
      <c r="J188" s="112"/>
      <c r="K188" s="112"/>
      <c r="L188" s="112"/>
      <c r="M188" s="112"/>
      <c r="N188" s="112"/>
    </row>
    <row r="189" spans="1:14" ht="12.75" customHeight="1">
      <c r="A189" s="179"/>
      <c r="G189" s="112"/>
      <c r="H189" s="112"/>
      <c r="I189" s="112" t="str">
        <f t="shared" si="2"/>
        <v>.0-255</v>
      </c>
      <c r="J189" s="112"/>
      <c r="K189" s="112"/>
      <c r="L189" s="112"/>
      <c r="M189" s="112"/>
      <c r="N189" s="112"/>
    </row>
    <row r="190" spans="1:14" ht="12.75" customHeight="1">
      <c r="A190" s="179"/>
      <c r="G190" s="112"/>
      <c r="H190" s="112"/>
      <c r="I190" s="112" t="str">
        <f t="shared" si="2"/>
        <v>.0-255</v>
      </c>
      <c r="J190" s="112"/>
      <c r="K190" s="112"/>
      <c r="L190" s="112"/>
      <c r="M190" s="112"/>
      <c r="N190" s="112"/>
    </row>
    <row r="191" spans="1:14" ht="12.75" customHeight="1">
      <c r="A191" s="179"/>
      <c r="G191" s="112"/>
      <c r="H191" s="112"/>
      <c r="I191" s="112" t="str">
        <f t="shared" si="2"/>
        <v>.0-255</v>
      </c>
      <c r="J191" s="112"/>
      <c r="K191" s="112"/>
      <c r="L191" s="112"/>
      <c r="M191" s="112"/>
      <c r="N191" s="112"/>
    </row>
    <row r="192" spans="1:14" ht="12.75" customHeight="1">
      <c r="A192" s="179"/>
      <c r="G192" s="112"/>
      <c r="H192" s="112"/>
      <c r="I192" s="112" t="str">
        <f t="shared" si="2"/>
        <v>.0-255</v>
      </c>
      <c r="J192" s="112"/>
      <c r="K192" s="112"/>
      <c r="L192" s="112"/>
      <c r="M192" s="112"/>
      <c r="N192" s="112"/>
    </row>
    <row r="193" spans="1:14" ht="12.75" customHeight="1">
      <c r="A193" s="179"/>
      <c r="G193" s="112"/>
      <c r="H193" s="112"/>
      <c r="I193" s="112" t="str">
        <f t="shared" si="2"/>
        <v>.0-255</v>
      </c>
      <c r="J193" s="112"/>
      <c r="K193" s="112"/>
      <c r="L193" s="112"/>
      <c r="M193" s="112"/>
      <c r="N193" s="112"/>
    </row>
    <row r="194" spans="1:14" ht="12.75" customHeight="1">
      <c r="A194" s="179"/>
      <c r="G194" s="112"/>
      <c r="H194" s="112"/>
      <c r="I194" s="112" t="str">
        <f t="shared" ref="I194:I257" si="3">H194&amp;".0-255"</f>
        <v>.0-255</v>
      </c>
      <c r="J194" s="112"/>
      <c r="K194" s="112"/>
      <c r="L194" s="112"/>
      <c r="M194" s="112"/>
      <c r="N194" s="112"/>
    </row>
    <row r="195" spans="1:14" ht="12.75" customHeight="1">
      <c r="A195" s="179"/>
      <c r="G195" s="112"/>
      <c r="H195" s="112"/>
      <c r="I195" s="112" t="str">
        <f t="shared" si="3"/>
        <v>.0-255</v>
      </c>
      <c r="J195" s="112"/>
      <c r="K195" s="112"/>
      <c r="L195" s="112"/>
      <c r="M195" s="112"/>
      <c r="N195" s="112"/>
    </row>
    <row r="196" spans="1:14" ht="12.75" customHeight="1">
      <c r="A196" s="179"/>
      <c r="G196" s="112"/>
      <c r="H196" s="112"/>
      <c r="I196" s="112" t="str">
        <f t="shared" si="3"/>
        <v>.0-255</v>
      </c>
      <c r="J196" s="112"/>
      <c r="K196" s="112"/>
      <c r="L196" s="112"/>
      <c r="M196" s="112"/>
      <c r="N196" s="112"/>
    </row>
    <row r="197" spans="1:14" ht="12.75" customHeight="1">
      <c r="A197" s="179"/>
      <c r="G197" s="112"/>
      <c r="H197" s="112"/>
      <c r="I197" s="112" t="str">
        <f t="shared" si="3"/>
        <v>.0-255</v>
      </c>
      <c r="J197" s="112"/>
      <c r="K197" s="112"/>
      <c r="L197" s="112"/>
      <c r="M197" s="112"/>
      <c r="N197" s="112"/>
    </row>
    <row r="198" spans="1:14" ht="12.75" customHeight="1">
      <c r="A198" s="179"/>
      <c r="G198" s="112"/>
      <c r="H198" s="112"/>
      <c r="I198" s="112" t="str">
        <f t="shared" si="3"/>
        <v>.0-255</v>
      </c>
      <c r="J198" s="112"/>
      <c r="K198" s="112"/>
      <c r="L198" s="112"/>
      <c r="M198" s="112"/>
      <c r="N198" s="112"/>
    </row>
    <row r="199" spans="1:14" ht="12.75" customHeight="1">
      <c r="A199" s="179"/>
      <c r="G199" s="112"/>
      <c r="H199" s="112"/>
      <c r="I199" s="112" t="str">
        <f t="shared" si="3"/>
        <v>.0-255</v>
      </c>
      <c r="J199" s="112"/>
      <c r="K199" s="112"/>
      <c r="L199" s="112"/>
      <c r="M199" s="112"/>
      <c r="N199" s="112"/>
    </row>
    <row r="200" spans="1:14" ht="12.75" customHeight="1">
      <c r="A200" s="179"/>
      <c r="G200" s="112"/>
      <c r="H200" s="112"/>
      <c r="I200" s="112" t="str">
        <f t="shared" si="3"/>
        <v>.0-255</v>
      </c>
      <c r="J200" s="112"/>
      <c r="K200" s="112"/>
      <c r="L200" s="112"/>
      <c r="M200" s="112"/>
      <c r="N200" s="112"/>
    </row>
    <row r="201" spans="1:14" ht="12.75" customHeight="1">
      <c r="A201" s="179"/>
      <c r="G201" s="112"/>
      <c r="H201" s="112"/>
      <c r="I201" s="112" t="str">
        <f t="shared" si="3"/>
        <v>.0-255</v>
      </c>
      <c r="J201" s="112"/>
      <c r="K201" s="112"/>
      <c r="L201" s="112"/>
      <c r="M201" s="112"/>
      <c r="N201" s="112"/>
    </row>
    <row r="202" spans="1:14" ht="12.75" customHeight="1">
      <c r="A202" s="179"/>
      <c r="G202" s="112"/>
      <c r="H202" s="112"/>
      <c r="I202" s="112" t="str">
        <f t="shared" si="3"/>
        <v>.0-255</v>
      </c>
      <c r="J202" s="112"/>
      <c r="K202" s="112"/>
      <c r="L202" s="112"/>
      <c r="M202" s="112"/>
      <c r="N202" s="112"/>
    </row>
    <row r="203" spans="1:14" ht="12.75" customHeight="1">
      <c r="A203" s="179"/>
      <c r="G203" s="112"/>
      <c r="H203" s="112"/>
      <c r="I203" s="112" t="str">
        <f t="shared" si="3"/>
        <v>.0-255</v>
      </c>
      <c r="J203" s="112"/>
      <c r="K203" s="112"/>
      <c r="L203" s="112"/>
      <c r="M203" s="112"/>
      <c r="N203" s="112"/>
    </row>
    <row r="204" spans="1:14" ht="12.75" customHeight="1">
      <c r="A204" s="179"/>
      <c r="G204" s="112"/>
      <c r="H204" s="112"/>
      <c r="I204" s="112" t="str">
        <f t="shared" si="3"/>
        <v>.0-255</v>
      </c>
      <c r="J204" s="112"/>
      <c r="K204" s="112"/>
      <c r="L204" s="112"/>
      <c r="M204" s="112"/>
      <c r="N204" s="112"/>
    </row>
    <row r="205" spans="1:14" ht="12.75" customHeight="1">
      <c r="A205" s="179"/>
      <c r="G205" s="112"/>
      <c r="H205" s="112"/>
      <c r="I205" s="112" t="str">
        <f t="shared" si="3"/>
        <v>.0-255</v>
      </c>
      <c r="J205" s="112"/>
      <c r="K205" s="112"/>
      <c r="L205" s="112"/>
      <c r="M205" s="112"/>
      <c r="N205" s="112"/>
    </row>
    <row r="206" spans="1:14" ht="12.75" customHeight="1">
      <c r="A206" s="179"/>
      <c r="G206" s="112"/>
      <c r="H206" s="112"/>
      <c r="I206" s="112" t="str">
        <f t="shared" si="3"/>
        <v>.0-255</v>
      </c>
      <c r="J206" s="112"/>
      <c r="K206" s="112"/>
      <c r="L206" s="112"/>
      <c r="M206" s="112"/>
      <c r="N206" s="112"/>
    </row>
    <row r="207" spans="1:14" ht="12.75" customHeight="1">
      <c r="A207" s="181"/>
      <c r="C207" s="178"/>
      <c r="D207" s="178"/>
      <c r="E207" s="178"/>
      <c r="F207" s="178"/>
      <c r="G207" s="112"/>
      <c r="H207" s="112"/>
      <c r="I207" s="112" t="str">
        <f t="shared" si="3"/>
        <v>.0-255</v>
      </c>
      <c r="J207" s="112"/>
      <c r="K207" s="112"/>
      <c r="L207" s="112"/>
      <c r="M207" s="112"/>
      <c r="N207" s="112"/>
    </row>
    <row r="208" spans="1:14" ht="12.75" customHeight="1">
      <c r="A208" s="181"/>
      <c r="C208" s="178"/>
      <c r="D208" s="178"/>
      <c r="E208" s="178"/>
      <c r="F208" s="178"/>
      <c r="G208" s="112"/>
      <c r="H208" s="112"/>
      <c r="I208" s="112" t="str">
        <f t="shared" si="3"/>
        <v>.0-255</v>
      </c>
      <c r="J208" s="112"/>
      <c r="K208" s="112"/>
      <c r="L208" s="112"/>
      <c r="M208" s="112"/>
      <c r="N208" s="112"/>
    </row>
    <row r="209" spans="1:14" ht="12.75" customHeight="1">
      <c r="A209" s="179"/>
      <c r="G209" s="112"/>
      <c r="H209" s="112"/>
      <c r="I209" s="112" t="str">
        <f t="shared" si="3"/>
        <v>.0-255</v>
      </c>
      <c r="J209" s="112"/>
      <c r="K209" s="112"/>
      <c r="L209" s="112"/>
      <c r="M209" s="112"/>
      <c r="N209" s="112"/>
    </row>
    <row r="210" spans="1:14" ht="12.75" customHeight="1">
      <c r="A210" s="179"/>
      <c r="G210" s="112"/>
      <c r="H210" s="112"/>
      <c r="I210" s="112" t="str">
        <f t="shared" si="3"/>
        <v>.0-255</v>
      </c>
      <c r="J210" s="112"/>
      <c r="K210" s="112"/>
      <c r="L210" s="112"/>
      <c r="M210" s="112"/>
      <c r="N210" s="112"/>
    </row>
    <row r="211" spans="1:14" ht="12.75" customHeight="1">
      <c r="A211" s="179"/>
      <c r="G211" s="112"/>
      <c r="H211" s="112"/>
      <c r="I211" s="112" t="str">
        <f t="shared" si="3"/>
        <v>.0-255</v>
      </c>
      <c r="J211" s="112"/>
      <c r="K211" s="112"/>
      <c r="L211" s="112"/>
      <c r="M211" s="112"/>
      <c r="N211" s="112"/>
    </row>
    <row r="212" spans="1:14" ht="12.75" customHeight="1">
      <c r="A212" s="179"/>
      <c r="G212" s="112"/>
      <c r="H212" s="112"/>
      <c r="I212" s="112" t="str">
        <f t="shared" si="3"/>
        <v>.0-255</v>
      </c>
      <c r="J212" s="112"/>
      <c r="K212" s="112"/>
      <c r="L212" s="112"/>
      <c r="M212" s="112"/>
      <c r="N212" s="112"/>
    </row>
    <row r="213" spans="1:14" ht="12.75" customHeight="1">
      <c r="A213" s="179"/>
      <c r="G213" s="112"/>
      <c r="H213" s="112"/>
      <c r="I213" s="112" t="str">
        <f t="shared" si="3"/>
        <v>.0-255</v>
      </c>
      <c r="J213" s="112"/>
      <c r="K213" s="112"/>
      <c r="L213" s="112"/>
      <c r="M213" s="112"/>
      <c r="N213" s="112"/>
    </row>
    <row r="214" spans="1:14" ht="12.75" customHeight="1">
      <c r="A214" s="179"/>
      <c r="G214" s="112"/>
      <c r="H214" s="112"/>
      <c r="I214" s="112" t="str">
        <f t="shared" si="3"/>
        <v>.0-255</v>
      </c>
      <c r="J214" s="112"/>
      <c r="K214" s="112"/>
      <c r="L214" s="112"/>
      <c r="M214" s="112"/>
      <c r="N214" s="112"/>
    </row>
    <row r="215" spans="1:14" ht="12.75" customHeight="1">
      <c r="A215" s="179"/>
      <c r="G215" s="112"/>
      <c r="H215" s="112"/>
      <c r="I215" s="112" t="str">
        <f t="shared" si="3"/>
        <v>.0-255</v>
      </c>
      <c r="J215" s="112"/>
      <c r="K215" s="112"/>
      <c r="L215" s="112"/>
      <c r="M215" s="112"/>
      <c r="N215" s="112"/>
    </row>
    <row r="216" spans="1:14" ht="12.75" customHeight="1">
      <c r="A216" s="179"/>
      <c r="G216" s="112"/>
      <c r="H216" s="112"/>
      <c r="I216" s="112" t="str">
        <f t="shared" si="3"/>
        <v>.0-255</v>
      </c>
      <c r="J216" s="112"/>
      <c r="K216" s="112"/>
      <c r="L216" s="112"/>
      <c r="M216" s="112"/>
      <c r="N216" s="112"/>
    </row>
    <row r="217" spans="1:14" ht="12.75" customHeight="1">
      <c r="A217" s="179"/>
      <c r="G217" s="112"/>
      <c r="H217" s="112"/>
      <c r="I217" s="112" t="str">
        <f t="shared" si="3"/>
        <v>.0-255</v>
      </c>
      <c r="J217" s="112"/>
      <c r="K217" s="112"/>
      <c r="L217" s="112"/>
      <c r="M217" s="112"/>
      <c r="N217" s="112"/>
    </row>
    <row r="218" spans="1:14" ht="12.75" customHeight="1">
      <c r="A218" s="179"/>
      <c r="G218" s="112"/>
      <c r="H218" s="112"/>
      <c r="I218" s="112" t="str">
        <f t="shared" si="3"/>
        <v>.0-255</v>
      </c>
      <c r="J218" s="112"/>
      <c r="K218" s="112"/>
      <c r="L218" s="112"/>
      <c r="M218" s="112"/>
      <c r="N218" s="112"/>
    </row>
    <row r="219" spans="1:14" ht="12.75" customHeight="1">
      <c r="A219" s="179"/>
      <c r="G219" s="112"/>
      <c r="H219" s="112"/>
      <c r="I219" s="112" t="str">
        <f t="shared" si="3"/>
        <v>.0-255</v>
      </c>
      <c r="J219" s="112"/>
      <c r="K219" s="112"/>
      <c r="L219" s="112"/>
      <c r="M219" s="112"/>
      <c r="N219" s="112"/>
    </row>
    <row r="220" spans="1:14" ht="12.75" customHeight="1">
      <c r="A220" s="179"/>
      <c r="G220" s="112"/>
      <c r="H220" s="112"/>
      <c r="I220" s="112" t="str">
        <f t="shared" si="3"/>
        <v>.0-255</v>
      </c>
      <c r="J220" s="112"/>
      <c r="K220" s="112"/>
      <c r="L220" s="112"/>
      <c r="M220" s="112"/>
      <c r="N220" s="112"/>
    </row>
    <row r="221" spans="1:14" ht="12.75" customHeight="1">
      <c r="A221" s="179"/>
      <c r="G221" s="112"/>
      <c r="H221" s="112"/>
      <c r="I221" s="112" t="str">
        <f t="shared" si="3"/>
        <v>.0-255</v>
      </c>
      <c r="J221" s="112"/>
      <c r="K221" s="112"/>
      <c r="L221" s="112"/>
      <c r="M221" s="112"/>
      <c r="N221" s="112"/>
    </row>
    <row r="222" spans="1:14" ht="12.75" customHeight="1">
      <c r="A222" s="179"/>
      <c r="G222" s="112"/>
      <c r="H222" s="112"/>
      <c r="I222" s="112" t="str">
        <f t="shared" si="3"/>
        <v>.0-255</v>
      </c>
      <c r="J222" s="112"/>
      <c r="K222" s="112"/>
      <c r="L222" s="112"/>
      <c r="M222" s="112"/>
      <c r="N222" s="112"/>
    </row>
    <row r="223" spans="1:14" ht="12.75" customHeight="1">
      <c r="A223" s="179"/>
      <c r="G223" s="112"/>
      <c r="H223" s="112"/>
      <c r="I223" s="112" t="str">
        <f t="shared" si="3"/>
        <v>.0-255</v>
      </c>
      <c r="J223" s="112"/>
      <c r="K223" s="112"/>
      <c r="L223" s="112"/>
      <c r="M223" s="112"/>
      <c r="N223" s="112"/>
    </row>
    <row r="224" spans="1:14" ht="12.75" customHeight="1">
      <c r="A224" s="179"/>
      <c r="G224" s="112"/>
      <c r="H224" s="112"/>
      <c r="I224" s="112" t="str">
        <f t="shared" si="3"/>
        <v>.0-255</v>
      </c>
      <c r="J224" s="112"/>
      <c r="K224" s="112"/>
      <c r="L224" s="112"/>
      <c r="M224" s="112"/>
      <c r="N224" s="112"/>
    </row>
    <row r="225" spans="1:9" s="112" customFormat="1" ht="12.75" customHeight="1">
      <c r="A225" s="179"/>
      <c r="C225" s="180"/>
      <c r="I225" s="112" t="str">
        <f t="shared" si="3"/>
        <v>.0-255</v>
      </c>
    </row>
    <row r="226" spans="1:9" s="112" customFormat="1" ht="12.75" customHeight="1">
      <c r="A226" s="179"/>
      <c r="C226" s="180"/>
      <c r="I226" s="112" t="str">
        <f t="shared" si="3"/>
        <v>.0-255</v>
      </c>
    </row>
    <row r="227" spans="1:9" s="112" customFormat="1" ht="12.75" customHeight="1">
      <c r="A227" s="179"/>
      <c r="C227" s="180"/>
      <c r="I227" s="112" t="str">
        <f t="shared" si="3"/>
        <v>.0-255</v>
      </c>
    </row>
    <row r="228" spans="1:9" s="112" customFormat="1" ht="12.75" customHeight="1">
      <c r="A228" s="179"/>
      <c r="C228" s="180"/>
      <c r="I228" s="112" t="str">
        <f t="shared" si="3"/>
        <v>.0-255</v>
      </c>
    </row>
    <row r="229" spans="1:9" s="112" customFormat="1" ht="12.75" customHeight="1">
      <c r="A229" s="179"/>
      <c r="C229" s="180"/>
      <c r="I229" s="112" t="str">
        <f t="shared" si="3"/>
        <v>.0-255</v>
      </c>
    </row>
    <row r="230" spans="1:9" s="112" customFormat="1" ht="12.75" customHeight="1">
      <c r="A230" s="179"/>
      <c r="C230" s="180"/>
      <c r="I230" s="112" t="str">
        <f t="shared" si="3"/>
        <v>.0-255</v>
      </c>
    </row>
    <row r="231" spans="1:9" s="112" customFormat="1" ht="12.75" customHeight="1">
      <c r="A231" s="179"/>
      <c r="C231" s="180"/>
      <c r="I231" s="112" t="str">
        <f t="shared" si="3"/>
        <v>.0-255</v>
      </c>
    </row>
    <row r="232" spans="1:9" s="112" customFormat="1" ht="12.75" customHeight="1">
      <c r="A232" s="179"/>
      <c r="C232" s="180"/>
      <c r="I232" s="112" t="str">
        <f t="shared" si="3"/>
        <v>.0-255</v>
      </c>
    </row>
    <row r="233" spans="1:9" s="112" customFormat="1" ht="12.75" customHeight="1">
      <c r="A233" s="117"/>
      <c r="C233" s="180"/>
      <c r="I233" s="112" t="str">
        <f t="shared" si="3"/>
        <v>.0-255</v>
      </c>
    </row>
    <row r="234" spans="1:9" s="112" customFormat="1" ht="12.75" customHeight="1">
      <c r="A234" s="117"/>
      <c r="C234" s="180"/>
      <c r="I234" s="112" t="str">
        <f t="shared" si="3"/>
        <v>.0-255</v>
      </c>
    </row>
    <row r="235" spans="1:9" s="112" customFormat="1" ht="12.75" customHeight="1">
      <c r="A235" s="117"/>
      <c r="C235" s="180"/>
      <c r="I235" s="112" t="str">
        <f t="shared" si="3"/>
        <v>.0-255</v>
      </c>
    </row>
    <row r="236" spans="1:9" s="112" customFormat="1" ht="12.75" customHeight="1">
      <c r="A236" s="117"/>
      <c r="C236" s="180"/>
      <c r="I236" s="112" t="str">
        <f t="shared" si="3"/>
        <v>.0-255</v>
      </c>
    </row>
    <row r="237" spans="1:9" s="112" customFormat="1" ht="12.75" customHeight="1">
      <c r="A237" s="117"/>
      <c r="C237" s="180"/>
      <c r="I237" s="112" t="str">
        <f t="shared" si="3"/>
        <v>.0-255</v>
      </c>
    </row>
    <row r="238" spans="1:9" s="112" customFormat="1" ht="12.75" customHeight="1">
      <c r="A238" s="117"/>
      <c r="C238" s="180"/>
      <c r="I238" s="112" t="str">
        <f t="shared" si="3"/>
        <v>.0-255</v>
      </c>
    </row>
    <row r="239" spans="1:9" s="112" customFormat="1" ht="12.75" customHeight="1">
      <c r="A239" s="117"/>
      <c r="C239" s="180"/>
      <c r="I239" s="112" t="str">
        <f t="shared" si="3"/>
        <v>.0-255</v>
      </c>
    </row>
    <row r="240" spans="1:9" s="112" customFormat="1" ht="12.75" customHeight="1">
      <c r="A240" s="117"/>
      <c r="C240" s="180"/>
      <c r="I240" s="112" t="str">
        <f t="shared" si="3"/>
        <v>.0-255</v>
      </c>
    </row>
    <row r="241" spans="1:9" s="112" customFormat="1" ht="12.75" customHeight="1">
      <c r="A241" s="117"/>
      <c r="C241" s="180"/>
      <c r="I241" s="112" t="str">
        <f t="shared" si="3"/>
        <v>.0-255</v>
      </c>
    </row>
    <row r="242" spans="1:9" s="112" customFormat="1" ht="12.75" customHeight="1">
      <c r="A242" s="117"/>
      <c r="C242" s="180"/>
      <c r="I242" s="112" t="str">
        <f t="shared" si="3"/>
        <v>.0-255</v>
      </c>
    </row>
    <row r="243" spans="1:9" s="112" customFormat="1" ht="12.75" customHeight="1">
      <c r="A243" s="117"/>
      <c r="C243" s="180"/>
      <c r="I243" s="112" t="str">
        <f t="shared" si="3"/>
        <v>.0-255</v>
      </c>
    </row>
    <row r="244" spans="1:9" s="112" customFormat="1" ht="12.75" customHeight="1">
      <c r="A244" s="117"/>
      <c r="C244" s="180"/>
      <c r="I244" s="112" t="str">
        <f t="shared" si="3"/>
        <v>.0-255</v>
      </c>
    </row>
    <row r="245" spans="1:9" s="112" customFormat="1" ht="12.75" customHeight="1">
      <c r="A245" s="117"/>
      <c r="C245" s="180"/>
      <c r="I245" s="112" t="str">
        <f t="shared" si="3"/>
        <v>.0-255</v>
      </c>
    </row>
    <row r="246" spans="1:9" s="112" customFormat="1" ht="12.75" customHeight="1">
      <c r="A246" s="117"/>
      <c r="C246" s="180"/>
      <c r="I246" s="112" t="str">
        <f t="shared" si="3"/>
        <v>.0-255</v>
      </c>
    </row>
    <row r="247" spans="1:9" s="112" customFormat="1" ht="12.75" customHeight="1">
      <c r="A247" s="117"/>
      <c r="C247" s="180"/>
      <c r="I247" s="112" t="str">
        <f t="shared" si="3"/>
        <v>.0-255</v>
      </c>
    </row>
    <row r="248" spans="1:9" s="112" customFormat="1" ht="12.75" customHeight="1">
      <c r="A248" s="117"/>
      <c r="C248" s="180"/>
      <c r="I248" s="112" t="str">
        <f t="shared" si="3"/>
        <v>.0-255</v>
      </c>
    </row>
    <row r="249" spans="1:9" s="112" customFormat="1" ht="12.75" customHeight="1">
      <c r="A249" s="117"/>
      <c r="C249" s="180"/>
      <c r="I249" s="112" t="str">
        <f t="shared" si="3"/>
        <v>.0-255</v>
      </c>
    </row>
    <row r="250" spans="1:9" s="112" customFormat="1" ht="12.75" customHeight="1">
      <c r="A250" s="117"/>
      <c r="C250" s="180"/>
      <c r="I250" s="112" t="str">
        <f t="shared" si="3"/>
        <v>.0-255</v>
      </c>
    </row>
    <row r="251" spans="1:9" s="112" customFormat="1" ht="12.75" customHeight="1">
      <c r="A251" s="117"/>
      <c r="C251" s="180"/>
      <c r="I251" s="112" t="str">
        <f t="shared" si="3"/>
        <v>.0-255</v>
      </c>
    </row>
    <row r="252" spans="1:9" s="112" customFormat="1" ht="12.75" customHeight="1">
      <c r="A252" s="117"/>
      <c r="C252" s="180"/>
      <c r="I252" s="112" t="str">
        <f t="shared" si="3"/>
        <v>.0-255</v>
      </c>
    </row>
    <row r="253" spans="1:9" s="112" customFormat="1" ht="12.75" customHeight="1">
      <c r="A253" s="117"/>
      <c r="C253" s="180"/>
      <c r="I253" s="112" t="str">
        <f t="shared" si="3"/>
        <v>.0-255</v>
      </c>
    </row>
    <row r="254" spans="1:9" s="112" customFormat="1" ht="12.75" customHeight="1">
      <c r="A254" s="117"/>
      <c r="C254" s="180"/>
      <c r="I254" s="112" t="str">
        <f t="shared" si="3"/>
        <v>.0-255</v>
      </c>
    </row>
    <row r="255" spans="1:9" s="112" customFormat="1" ht="12.75" customHeight="1">
      <c r="A255" s="117"/>
      <c r="C255" s="180"/>
      <c r="I255" s="112" t="str">
        <f t="shared" si="3"/>
        <v>.0-255</v>
      </c>
    </row>
    <row r="256" spans="1:9" s="112" customFormat="1" ht="12.75" customHeight="1">
      <c r="A256" s="117"/>
      <c r="C256" s="180"/>
      <c r="I256" s="112" t="str">
        <f t="shared" si="3"/>
        <v>.0-255</v>
      </c>
    </row>
    <row r="257" spans="8:9" ht="12.75" customHeight="1">
      <c r="H257" s="112"/>
      <c r="I257" s="112" t="str">
        <f t="shared" si="3"/>
        <v>.0-255</v>
      </c>
    </row>
    <row r="258" spans="8:9" ht="12.75" customHeight="1">
      <c r="H258" s="112"/>
      <c r="I258" s="112" t="str">
        <f t="shared" ref="I258:I321" si="4">H258&amp;".0-255"</f>
        <v>.0-255</v>
      </c>
    </row>
    <row r="259" spans="8:9" ht="12.75" customHeight="1">
      <c r="H259" s="112"/>
      <c r="I259" s="112" t="str">
        <f t="shared" si="4"/>
        <v>.0-255</v>
      </c>
    </row>
    <row r="260" spans="8:9" ht="12.75" customHeight="1">
      <c r="H260" s="112"/>
      <c r="I260" s="112" t="str">
        <f t="shared" si="4"/>
        <v>.0-255</v>
      </c>
    </row>
    <row r="261" spans="8:9" ht="12.75" customHeight="1">
      <c r="H261" s="112"/>
      <c r="I261" s="112" t="str">
        <f t="shared" si="4"/>
        <v>.0-255</v>
      </c>
    </row>
    <row r="262" spans="8:9" ht="12.75" customHeight="1">
      <c r="H262" s="112"/>
      <c r="I262" s="112" t="str">
        <f t="shared" si="4"/>
        <v>.0-255</v>
      </c>
    </row>
    <row r="263" spans="8:9" ht="12.75" customHeight="1">
      <c r="H263" s="112"/>
      <c r="I263" s="112" t="str">
        <f t="shared" si="4"/>
        <v>.0-255</v>
      </c>
    </row>
    <row r="264" spans="8:9" ht="12.75" customHeight="1">
      <c r="H264" s="112"/>
      <c r="I264" s="112" t="str">
        <f t="shared" si="4"/>
        <v>.0-255</v>
      </c>
    </row>
    <row r="265" spans="8:9" ht="12.75" customHeight="1">
      <c r="H265" s="112"/>
      <c r="I265" s="112" t="str">
        <f t="shared" si="4"/>
        <v>.0-255</v>
      </c>
    </row>
    <row r="266" spans="8:9" ht="12.75" customHeight="1">
      <c r="H266" s="112"/>
      <c r="I266" s="112" t="str">
        <f t="shared" si="4"/>
        <v>.0-255</v>
      </c>
    </row>
    <row r="267" spans="8:9" ht="12.75" customHeight="1">
      <c r="H267" s="112"/>
      <c r="I267" s="112" t="str">
        <f t="shared" si="4"/>
        <v>.0-255</v>
      </c>
    </row>
    <row r="268" spans="8:9" ht="12.75" customHeight="1">
      <c r="H268" s="112"/>
      <c r="I268" s="112" t="str">
        <f t="shared" si="4"/>
        <v>.0-255</v>
      </c>
    </row>
    <row r="269" spans="8:9" ht="12.75" customHeight="1">
      <c r="H269" s="112"/>
      <c r="I269" s="112" t="str">
        <f t="shared" si="4"/>
        <v>.0-255</v>
      </c>
    </row>
    <row r="270" spans="8:9" ht="12.75" customHeight="1">
      <c r="H270" s="112"/>
      <c r="I270" s="112" t="str">
        <f t="shared" si="4"/>
        <v>.0-255</v>
      </c>
    </row>
    <row r="271" spans="8:9" ht="12.75" customHeight="1">
      <c r="H271" s="112"/>
      <c r="I271" s="112" t="str">
        <f t="shared" si="4"/>
        <v>.0-255</v>
      </c>
    </row>
    <row r="272" spans="8:9" ht="12.75" customHeight="1">
      <c r="H272" s="112"/>
      <c r="I272" s="112" t="str">
        <f t="shared" si="4"/>
        <v>.0-255</v>
      </c>
    </row>
    <row r="273" spans="1:9" s="112" customFormat="1" ht="12.75" customHeight="1">
      <c r="A273" s="117"/>
      <c r="C273" s="180"/>
      <c r="I273" s="112" t="str">
        <f t="shared" si="4"/>
        <v>.0-255</v>
      </c>
    </row>
    <row r="274" spans="1:9" s="112" customFormat="1" ht="12.75" customHeight="1">
      <c r="A274" s="117"/>
      <c r="C274" s="180"/>
      <c r="I274" s="112" t="str">
        <f t="shared" si="4"/>
        <v>.0-255</v>
      </c>
    </row>
    <row r="275" spans="1:9" s="112" customFormat="1" ht="12.75" customHeight="1">
      <c r="A275" s="117"/>
      <c r="C275" s="180"/>
      <c r="I275" s="112" t="str">
        <f t="shared" si="4"/>
        <v>.0-255</v>
      </c>
    </row>
    <row r="276" spans="1:9" s="112" customFormat="1" ht="12.75" customHeight="1">
      <c r="A276" s="117"/>
      <c r="C276" s="180"/>
      <c r="I276" s="112" t="str">
        <f t="shared" si="4"/>
        <v>.0-255</v>
      </c>
    </row>
    <row r="277" spans="1:9" s="112" customFormat="1" ht="12.75" customHeight="1">
      <c r="A277" s="117"/>
      <c r="C277" s="180"/>
      <c r="I277" s="112" t="str">
        <f t="shared" si="4"/>
        <v>.0-255</v>
      </c>
    </row>
    <row r="278" spans="1:9" s="112" customFormat="1" ht="12.75" customHeight="1">
      <c r="A278" s="117"/>
      <c r="C278" s="180"/>
      <c r="I278" s="112" t="str">
        <f t="shared" si="4"/>
        <v>.0-255</v>
      </c>
    </row>
    <row r="279" spans="1:9" s="112" customFormat="1" ht="12.75" customHeight="1">
      <c r="A279" s="117"/>
      <c r="C279" s="180"/>
      <c r="I279" s="112" t="str">
        <f t="shared" si="4"/>
        <v>.0-255</v>
      </c>
    </row>
    <row r="280" spans="1:9" s="112" customFormat="1" ht="12.75" customHeight="1">
      <c r="A280" s="117"/>
      <c r="C280" s="180"/>
      <c r="I280" s="112" t="str">
        <f t="shared" si="4"/>
        <v>.0-255</v>
      </c>
    </row>
    <row r="281" spans="1:9" s="112" customFormat="1" ht="12.75" customHeight="1">
      <c r="A281" s="117"/>
      <c r="C281" s="180"/>
      <c r="I281" s="112" t="str">
        <f t="shared" si="4"/>
        <v>.0-255</v>
      </c>
    </row>
    <row r="282" spans="1:9" s="112" customFormat="1" ht="12.75" customHeight="1">
      <c r="A282" s="117"/>
      <c r="C282" s="180"/>
      <c r="I282" s="112" t="str">
        <f t="shared" si="4"/>
        <v>.0-255</v>
      </c>
    </row>
    <row r="283" spans="1:9" s="112" customFormat="1" ht="12.75" customHeight="1">
      <c r="A283" s="117"/>
      <c r="C283" s="180"/>
      <c r="I283" s="112" t="str">
        <f t="shared" si="4"/>
        <v>.0-255</v>
      </c>
    </row>
    <row r="284" spans="1:9" s="112" customFormat="1" ht="12.75" customHeight="1">
      <c r="A284" s="117"/>
      <c r="C284" s="180"/>
      <c r="I284" s="112" t="str">
        <f t="shared" si="4"/>
        <v>.0-255</v>
      </c>
    </row>
    <row r="285" spans="1:9" s="112" customFormat="1" ht="12.75" customHeight="1">
      <c r="A285" s="117"/>
      <c r="C285" s="180"/>
      <c r="I285" s="112" t="str">
        <f t="shared" si="4"/>
        <v>.0-255</v>
      </c>
    </row>
    <row r="286" spans="1:9" s="112" customFormat="1" ht="12.75" customHeight="1">
      <c r="A286" s="117"/>
      <c r="C286" s="180"/>
      <c r="I286" s="112" t="str">
        <f t="shared" si="4"/>
        <v>.0-255</v>
      </c>
    </row>
    <row r="287" spans="1:9" s="112" customFormat="1" ht="12.75" customHeight="1">
      <c r="A287" s="117"/>
      <c r="C287" s="180"/>
      <c r="I287" s="112" t="str">
        <f t="shared" si="4"/>
        <v>.0-255</v>
      </c>
    </row>
    <row r="288" spans="1:9" s="112" customFormat="1" ht="12.75" customHeight="1">
      <c r="A288" s="117"/>
      <c r="C288" s="180"/>
      <c r="I288" s="112" t="str">
        <f t="shared" si="4"/>
        <v>.0-255</v>
      </c>
    </row>
    <row r="289" spans="8:9" ht="12.75" customHeight="1">
      <c r="H289" s="112"/>
      <c r="I289" s="112" t="str">
        <f t="shared" si="4"/>
        <v>.0-255</v>
      </c>
    </row>
    <row r="290" spans="8:9" ht="12.75" customHeight="1">
      <c r="H290" s="112"/>
      <c r="I290" s="112" t="str">
        <f t="shared" si="4"/>
        <v>.0-255</v>
      </c>
    </row>
    <row r="291" spans="8:9" ht="12.75" customHeight="1">
      <c r="I291" s="112" t="str">
        <f t="shared" si="4"/>
        <v>.0-255</v>
      </c>
    </row>
    <row r="292" spans="8:9" ht="12.75" customHeight="1">
      <c r="I292" s="112" t="str">
        <f t="shared" si="4"/>
        <v>.0-255</v>
      </c>
    </row>
    <row r="293" spans="8:9" ht="12.75" customHeight="1">
      <c r="I293" s="112" t="str">
        <f t="shared" si="4"/>
        <v>.0-255</v>
      </c>
    </row>
    <row r="294" spans="8:9" ht="12.75" customHeight="1">
      <c r="I294" s="112" t="str">
        <f t="shared" si="4"/>
        <v>.0-255</v>
      </c>
    </row>
    <row r="295" spans="8:9" ht="12.75" customHeight="1">
      <c r="I295" s="112" t="str">
        <f t="shared" si="4"/>
        <v>.0-255</v>
      </c>
    </row>
    <row r="296" spans="8:9" ht="12.75" customHeight="1">
      <c r="I296" s="112" t="str">
        <f t="shared" si="4"/>
        <v>.0-255</v>
      </c>
    </row>
    <row r="297" spans="8:9" ht="12.75" customHeight="1">
      <c r="I297" s="112" t="str">
        <f t="shared" si="4"/>
        <v>.0-255</v>
      </c>
    </row>
    <row r="298" spans="8:9" ht="12.75" customHeight="1">
      <c r="I298" s="112" t="str">
        <f t="shared" si="4"/>
        <v>.0-255</v>
      </c>
    </row>
    <row r="299" spans="8:9" ht="12.75" customHeight="1">
      <c r="I299" s="112" t="str">
        <f t="shared" si="4"/>
        <v>.0-255</v>
      </c>
    </row>
    <row r="300" spans="8:9" ht="12.75" customHeight="1">
      <c r="I300" s="112" t="str">
        <f t="shared" si="4"/>
        <v>.0-255</v>
      </c>
    </row>
    <row r="301" spans="8:9" ht="12.75" customHeight="1">
      <c r="I301" s="112" t="str">
        <f t="shared" si="4"/>
        <v>.0-255</v>
      </c>
    </row>
    <row r="302" spans="8:9" ht="12.75" customHeight="1">
      <c r="I302" s="112" t="str">
        <f t="shared" si="4"/>
        <v>.0-255</v>
      </c>
    </row>
    <row r="303" spans="8:9" ht="12.75" customHeight="1">
      <c r="I303" s="112" t="str">
        <f t="shared" si="4"/>
        <v>.0-255</v>
      </c>
    </row>
    <row r="304" spans="8:9" ht="12.75" customHeight="1">
      <c r="I304" s="112" t="str">
        <f t="shared" si="4"/>
        <v>.0-255</v>
      </c>
    </row>
    <row r="305" spans="1:9" s="112" customFormat="1" ht="12.75" customHeight="1">
      <c r="A305" s="117"/>
      <c r="C305" s="180"/>
      <c r="I305" s="112" t="str">
        <f t="shared" si="4"/>
        <v>.0-255</v>
      </c>
    </row>
    <row r="306" spans="1:9" s="112" customFormat="1" ht="12.75" customHeight="1">
      <c r="A306" s="117"/>
      <c r="C306" s="180"/>
      <c r="I306" s="112" t="str">
        <f t="shared" si="4"/>
        <v>.0-255</v>
      </c>
    </row>
    <row r="307" spans="1:9" s="112" customFormat="1" ht="12.75" customHeight="1">
      <c r="A307" s="117"/>
      <c r="C307" s="180"/>
      <c r="I307" s="112" t="str">
        <f t="shared" si="4"/>
        <v>.0-255</v>
      </c>
    </row>
    <row r="308" spans="1:9" s="112" customFormat="1" ht="12.75" customHeight="1">
      <c r="A308" s="117"/>
      <c r="C308" s="180"/>
      <c r="I308" s="112" t="str">
        <f t="shared" si="4"/>
        <v>.0-255</v>
      </c>
    </row>
    <row r="309" spans="1:9" s="112" customFormat="1" ht="12.75" customHeight="1">
      <c r="A309" s="117"/>
      <c r="C309" s="180"/>
      <c r="I309" s="112" t="str">
        <f t="shared" si="4"/>
        <v>.0-255</v>
      </c>
    </row>
    <row r="310" spans="1:9" s="112" customFormat="1" ht="12.75" customHeight="1">
      <c r="A310" s="117"/>
      <c r="C310" s="180"/>
      <c r="I310" s="112" t="str">
        <f t="shared" si="4"/>
        <v>.0-255</v>
      </c>
    </row>
    <row r="311" spans="1:9" s="112" customFormat="1" ht="12.75" customHeight="1">
      <c r="A311" s="117"/>
      <c r="C311" s="180"/>
      <c r="I311" s="112" t="str">
        <f t="shared" si="4"/>
        <v>.0-255</v>
      </c>
    </row>
    <row r="312" spans="1:9" s="112" customFormat="1" ht="12.75" customHeight="1">
      <c r="A312" s="117"/>
      <c r="C312" s="180"/>
      <c r="I312" s="112" t="str">
        <f t="shared" si="4"/>
        <v>.0-255</v>
      </c>
    </row>
    <row r="313" spans="1:9" s="112" customFormat="1" ht="12.75" customHeight="1">
      <c r="A313" s="117"/>
      <c r="C313" s="180"/>
      <c r="I313" s="112" t="str">
        <f t="shared" si="4"/>
        <v>.0-255</v>
      </c>
    </row>
    <row r="314" spans="1:9" s="112" customFormat="1" ht="12.75" customHeight="1">
      <c r="A314" s="117"/>
      <c r="C314" s="180"/>
      <c r="I314" s="112" t="str">
        <f t="shared" si="4"/>
        <v>.0-255</v>
      </c>
    </row>
    <row r="315" spans="1:9" s="112" customFormat="1" ht="12.75" customHeight="1">
      <c r="A315" s="117"/>
      <c r="C315" s="180"/>
      <c r="I315" s="112" t="str">
        <f t="shared" si="4"/>
        <v>.0-255</v>
      </c>
    </row>
    <row r="316" spans="1:9" s="112" customFormat="1" ht="12.75" customHeight="1">
      <c r="A316" s="117"/>
      <c r="C316" s="180"/>
      <c r="I316" s="112" t="str">
        <f t="shared" si="4"/>
        <v>.0-255</v>
      </c>
    </row>
    <row r="317" spans="1:9" s="112" customFormat="1" ht="12.75" customHeight="1">
      <c r="A317" s="117"/>
      <c r="C317" s="180"/>
      <c r="I317" s="112" t="str">
        <f t="shared" si="4"/>
        <v>.0-255</v>
      </c>
    </row>
    <row r="318" spans="1:9" s="112" customFormat="1" ht="12.75" customHeight="1">
      <c r="A318" s="117"/>
      <c r="C318" s="180"/>
      <c r="I318" s="112" t="str">
        <f t="shared" si="4"/>
        <v>.0-255</v>
      </c>
    </row>
    <row r="319" spans="1:9" s="112" customFormat="1" ht="12.75" customHeight="1">
      <c r="A319" s="117"/>
      <c r="C319" s="180"/>
      <c r="I319" s="112" t="str">
        <f t="shared" si="4"/>
        <v>.0-255</v>
      </c>
    </row>
    <row r="320" spans="1:9" s="112" customFormat="1" ht="12.75" customHeight="1">
      <c r="A320" s="117"/>
      <c r="C320" s="180"/>
      <c r="I320" s="112" t="str">
        <f t="shared" si="4"/>
        <v>.0-255</v>
      </c>
    </row>
    <row r="321" spans="1:9" s="112" customFormat="1" ht="12.75" customHeight="1">
      <c r="A321" s="117"/>
      <c r="C321" s="180"/>
      <c r="I321" s="112" t="str">
        <f t="shared" si="4"/>
        <v>.0-255</v>
      </c>
    </row>
    <row r="322" spans="1:9" s="112" customFormat="1" ht="12.75" customHeight="1">
      <c r="A322" s="117"/>
      <c r="C322" s="180"/>
      <c r="I322" s="112" t="str">
        <f t="shared" ref="I322:I332" si="5">H322&amp;".0-255"</f>
        <v>.0-255</v>
      </c>
    </row>
    <row r="323" spans="1:9" s="112" customFormat="1" ht="12.75" customHeight="1">
      <c r="A323" s="117"/>
      <c r="C323" s="180"/>
      <c r="I323" s="112" t="str">
        <f t="shared" si="5"/>
        <v>.0-255</v>
      </c>
    </row>
    <row r="324" spans="1:9" s="112" customFormat="1" ht="12.75" customHeight="1">
      <c r="A324" s="117"/>
      <c r="C324" s="180"/>
      <c r="I324" s="112" t="str">
        <f t="shared" si="5"/>
        <v>.0-255</v>
      </c>
    </row>
    <row r="325" spans="1:9" s="112" customFormat="1" ht="12.75" customHeight="1">
      <c r="A325" s="117"/>
      <c r="C325" s="180"/>
      <c r="I325" s="112" t="str">
        <f t="shared" si="5"/>
        <v>.0-255</v>
      </c>
    </row>
    <row r="326" spans="1:9" s="112" customFormat="1" ht="12.75" customHeight="1">
      <c r="A326" s="117"/>
      <c r="C326" s="180"/>
      <c r="I326" s="112" t="str">
        <f t="shared" si="5"/>
        <v>.0-255</v>
      </c>
    </row>
    <row r="327" spans="1:9" s="112" customFormat="1" ht="12.75" customHeight="1">
      <c r="A327" s="117"/>
      <c r="C327" s="180"/>
      <c r="I327" s="112" t="str">
        <f t="shared" si="5"/>
        <v>.0-255</v>
      </c>
    </row>
    <row r="328" spans="1:9" s="112" customFormat="1" ht="12.75" customHeight="1">
      <c r="A328" s="117"/>
      <c r="C328" s="180"/>
      <c r="I328" s="112" t="str">
        <f t="shared" si="5"/>
        <v>.0-255</v>
      </c>
    </row>
    <row r="329" spans="1:9" s="112" customFormat="1" ht="12.75" customHeight="1">
      <c r="A329" s="117"/>
      <c r="C329" s="180"/>
      <c r="I329" s="112" t="str">
        <f t="shared" si="5"/>
        <v>.0-255</v>
      </c>
    </row>
    <row r="330" spans="1:9" s="112" customFormat="1" ht="12.75" customHeight="1">
      <c r="A330" s="117"/>
      <c r="C330" s="180"/>
      <c r="I330" s="112" t="str">
        <f t="shared" si="5"/>
        <v>.0-255</v>
      </c>
    </row>
    <row r="331" spans="1:9" s="112" customFormat="1" ht="12.75" customHeight="1">
      <c r="A331" s="117"/>
      <c r="C331" s="180"/>
      <c r="I331" s="112" t="str">
        <f t="shared" si="5"/>
        <v>.0-255</v>
      </c>
    </row>
    <row r="332" spans="1:9" s="112" customFormat="1" ht="12.75" customHeight="1">
      <c r="A332" s="117"/>
      <c r="C332" s="180"/>
      <c r="I332" s="112" t="str">
        <f t="shared" si="5"/>
        <v>.0-255</v>
      </c>
    </row>
    <row r="333" spans="1:9" s="112" customFormat="1" ht="12.75" customHeight="1">
      <c r="A333" s="117"/>
      <c r="C333" s="180"/>
    </row>
    <row r="334" spans="1:9" s="112" customFormat="1" ht="12.75" customHeight="1">
      <c r="A334" s="117"/>
      <c r="C334" s="180"/>
    </row>
    <row r="335" spans="1:9" s="112" customFormat="1" ht="12.75" customHeight="1">
      <c r="A335" s="117"/>
      <c r="C335" s="180"/>
    </row>
    <row r="336" spans="1:9" s="112" customFormat="1" ht="12.75" customHeight="1">
      <c r="A336" s="117"/>
      <c r="C336" s="180"/>
    </row>
    <row r="337" spans="9:9" ht="12.75" customHeight="1">
      <c r="I337" s="112"/>
    </row>
    <row r="338" spans="9:9" ht="12.75" customHeight="1">
      <c r="I338" s="112"/>
    </row>
    <row r="339" spans="9:9" ht="12.75" customHeight="1">
      <c r="I339" s="112"/>
    </row>
    <row r="340" spans="9:9" ht="12.75" customHeight="1">
      <c r="I340" s="112"/>
    </row>
    <row r="341" spans="9:9" ht="12.75" customHeight="1">
      <c r="I341" s="112"/>
    </row>
    <row r="342" spans="9:9" ht="12.75" customHeight="1">
      <c r="I342" s="112"/>
    </row>
    <row r="343" spans="9:9" ht="12.75" customHeight="1">
      <c r="I343" s="112"/>
    </row>
    <row r="344" spans="9:9" ht="12.75" customHeight="1">
      <c r="I344" s="112"/>
    </row>
    <row r="345" spans="9:9" ht="12.75" customHeight="1">
      <c r="I345" s="112"/>
    </row>
    <row r="346" spans="9:9" ht="12.75" customHeight="1">
      <c r="I346" s="112"/>
    </row>
    <row r="347" spans="9:9" ht="12.75" customHeight="1">
      <c r="I347" s="112"/>
    </row>
    <row r="348" spans="9:9" ht="12.75" customHeight="1">
      <c r="I348" s="112"/>
    </row>
    <row r="349" spans="9:9" ht="12.75" customHeight="1">
      <c r="I349" s="112"/>
    </row>
    <row r="350" spans="9:9" ht="12.75" customHeight="1">
      <c r="I350" s="112"/>
    </row>
    <row r="351" spans="9:9" ht="12.75" customHeight="1">
      <c r="I351" s="112"/>
    </row>
    <row r="352" spans="9:9" ht="12.75" customHeight="1">
      <c r="I352" s="112"/>
    </row>
    <row r="353" spans="1:9" ht="12.75" customHeight="1">
      <c r="I353" s="112"/>
    </row>
    <row r="354" spans="1:9" ht="12.75" customHeight="1">
      <c r="I354" s="112"/>
    </row>
    <row r="355" spans="1:9" ht="12.75" customHeight="1">
      <c r="I355" s="112"/>
    </row>
    <row r="356" spans="1:9" ht="12.75" customHeight="1">
      <c r="I356" s="112"/>
    </row>
    <row r="357" spans="1:9" ht="12.75" customHeight="1">
      <c r="I357" s="112"/>
    </row>
    <row r="358" spans="1:9" ht="12.75" customHeight="1">
      <c r="I358" s="112"/>
    </row>
    <row r="359" spans="1:9" ht="12.75" customHeight="1">
      <c r="I359" s="112"/>
    </row>
    <row r="360" spans="1:9" ht="12.75" customHeight="1">
      <c r="I360" s="112"/>
    </row>
    <row r="361" spans="1:9" ht="12.75" customHeight="1">
      <c r="I361" s="112"/>
    </row>
    <row r="362" spans="1:9" ht="12.75" customHeight="1">
      <c r="A362" s="123"/>
      <c r="I362" s="112"/>
    </row>
    <row r="363" spans="1:9" ht="12.75" customHeight="1">
      <c r="A363" s="123"/>
      <c r="I363" s="112"/>
    </row>
    <row r="364" spans="1:9" ht="12.75" customHeight="1">
      <c r="A364" s="123"/>
      <c r="I364" s="112"/>
    </row>
    <row r="365" spans="1:9" ht="12.75" customHeight="1">
      <c r="A365" s="123"/>
      <c r="I365" s="112"/>
    </row>
    <row r="366" spans="1:9" ht="12.75" customHeight="1">
      <c r="I366" s="112"/>
    </row>
    <row r="367" spans="1:9" ht="12.75" customHeight="1">
      <c r="I367" s="112"/>
    </row>
    <row r="368" spans="1:9" ht="12.75" customHeight="1">
      <c r="I368" s="112"/>
    </row>
    <row r="369" spans="9:9" ht="12.75" customHeight="1">
      <c r="I369" s="112"/>
    </row>
    <row r="370" spans="9:9" ht="12.75" customHeight="1">
      <c r="I370" s="112"/>
    </row>
    <row r="371" spans="9:9" ht="12.75" customHeight="1">
      <c r="I371" s="112"/>
    </row>
    <row r="372" spans="9:9" ht="12.75" customHeight="1">
      <c r="I372" s="112"/>
    </row>
    <row r="373" spans="9:9" ht="12.75" customHeight="1">
      <c r="I373" s="112"/>
    </row>
    <row r="374" spans="9:9" ht="12.75" customHeight="1">
      <c r="I374" s="112"/>
    </row>
    <row r="375" spans="9:9" ht="12.75" customHeight="1">
      <c r="I375" s="112"/>
    </row>
    <row r="376" spans="9:9" ht="12.75" customHeight="1">
      <c r="I376" s="112"/>
    </row>
    <row r="377" spans="9:9" ht="12.75" customHeight="1">
      <c r="I377" s="112"/>
    </row>
    <row r="378" spans="9:9" ht="12.75" customHeight="1">
      <c r="I378" s="112"/>
    </row>
    <row r="379" spans="9:9" ht="12.75" customHeight="1">
      <c r="I379" s="112"/>
    </row>
    <row r="380" spans="9:9" ht="12.75" customHeight="1">
      <c r="I380" s="112"/>
    </row>
    <row r="381" spans="9:9" ht="12.75" customHeight="1">
      <c r="I381" s="112"/>
    </row>
    <row r="382" spans="9:9" ht="12.75" customHeight="1">
      <c r="I382" s="112"/>
    </row>
    <row r="383" spans="9:9" ht="12.75" customHeight="1">
      <c r="I383" s="112"/>
    </row>
    <row r="384" spans="9:9" ht="12.75" customHeight="1">
      <c r="I384" s="112"/>
    </row>
    <row r="385" spans="9:9" ht="12.75" customHeight="1">
      <c r="I385" s="112"/>
    </row>
    <row r="386" spans="9:9" ht="12.75" customHeight="1">
      <c r="I386" s="112"/>
    </row>
    <row r="387" spans="9:9" ht="12.75" customHeight="1">
      <c r="I387" s="112"/>
    </row>
    <row r="388" spans="9:9" ht="12.75" customHeight="1">
      <c r="I388" s="112"/>
    </row>
    <row r="389" spans="9:9" ht="12.75" customHeight="1">
      <c r="I389" s="112"/>
    </row>
    <row r="390" spans="9:9" ht="12.75" customHeight="1">
      <c r="I390" s="112"/>
    </row>
    <row r="391" spans="9:9" ht="12.75" customHeight="1">
      <c r="I391" s="112"/>
    </row>
    <row r="392" spans="9:9" ht="12.75" customHeight="1">
      <c r="I392" s="112"/>
    </row>
    <row r="393" spans="9:9" ht="12.75" customHeight="1">
      <c r="I393" s="112"/>
    </row>
    <row r="394" spans="9:9" ht="12.75" customHeight="1">
      <c r="I394" s="112"/>
    </row>
    <row r="395" spans="9:9" ht="12.75" customHeight="1">
      <c r="I395" s="112"/>
    </row>
    <row r="396" spans="9:9" ht="12.75" customHeight="1">
      <c r="I396" s="112"/>
    </row>
    <row r="397" spans="9:9" ht="12.75" customHeight="1">
      <c r="I397" s="112"/>
    </row>
    <row r="398" spans="9:9" ht="12.75" customHeight="1">
      <c r="I398" s="112"/>
    </row>
    <row r="399" spans="9:9" ht="12.75" customHeight="1">
      <c r="I399" s="112"/>
    </row>
    <row r="400" spans="9:9" ht="12.75" customHeight="1">
      <c r="I400" s="112"/>
    </row>
    <row r="401" spans="1:3" s="112" customFormat="1" ht="12.75" customHeight="1">
      <c r="A401" s="117"/>
      <c r="C401" s="180"/>
    </row>
    <row r="402" spans="1:3" s="112" customFormat="1" ht="12.75" customHeight="1">
      <c r="A402" s="117"/>
      <c r="C402" s="180"/>
    </row>
    <row r="403" spans="1:3" s="112" customFormat="1" ht="12.75" customHeight="1">
      <c r="A403" s="117"/>
      <c r="C403" s="180"/>
    </row>
    <row r="404" spans="1:3" s="112" customFormat="1" ht="12.75" customHeight="1">
      <c r="A404" s="117"/>
      <c r="C404" s="180"/>
    </row>
    <row r="405" spans="1:3" s="112" customFormat="1" ht="12.75" customHeight="1">
      <c r="A405" s="117"/>
      <c r="C405" s="180"/>
    </row>
    <row r="406" spans="1:3" s="112" customFormat="1" ht="12.75" customHeight="1">
      <c r="A406" s="117"/>
      <c r="C406" s="180"/>
    </row>
    <row r="407" spans="1:3" s="112" customFormat="1" ht="12.75" customHeight="1">
      <c r="A407" s="117"/>
      <c r="C407" s="180"/>
    </row>
    <row r="408" spans="1:3" s="112" customFormat="1" ht="12.75" customHeight="1">
      <c r="A408" s="117"/>
      <c r="C408" s="180"/>
    </row>
    <row r="409" spans="1:3" s="112" customFormat="1" ht="12.75" customHeight="1">
      <c r="A409" s="117"/>
      <c r="C409" s="180"/>
    </row>
    <row r="410" spans="1:3" s="112" customFormat="1" ht="12.75" customHeight="1">
      <c r="A410" s="117"/>
      <c r="C410" s="180"/>
    </row>
    <row r="411" spans="1:3" s="112" customFormat="1" ht="12.75" customHeight="1">
      <c r="A411" s="117"/>
      <c r="C411" s="180"/>
    </row>
    <row r="412" spans="1:3" s="112" customFormat="1" ht="12.75" customHeight="1">
      <c r="A412" s="117"/>
      <c r="C412" s="180"/>
    </row>
    <row r="413" spans="1:3" s="112" customFormat="1" ht="12.75" customHeight="1">
      <c r="A413" s="117"/>
      <c r="C413" s="180"/>
    </row>
    <row r="414" spans="1:3" s="112" customFormat="1" ht="12.75" customHeight="1">
      <c r="A414" s="117"/>
      <c r="C414" s="180"/>
    </row>
    <row r="415" spans="1:3" s="112" customFormat="1" ht="12.75" customHeight="1">
      <c r="A415" s="117"/>
      <c r="C415" s="180"/>
    </row>
    <row r="416" spans="1:3" s="112" customFormat="1" ht="12.75" customHeight="1">
      <c r="A416" s="117"/>
      <c r="C416" s="180"/>
    </row>
    <row r="417" spans="1:3" s="112" customFormat="1" ht="12.75" customHeight="1">
      <c r="A417" s="117"/>
      <c r="C417" s="180"/>
    </row>
    <row r="418" spans="1:3" s="112" customFormat="1" ht="12.75" customHeight="1">
      <c r="A418" s="117"/>
      <c r="C418" s="180"/>
    </row>
    <row r="419" spans="1:3" s="112" customFormat="1" ht="12.75" customHeight="1">
      <c r="A419" s="117"/>
      <c r="C419" s="180"/>
    </row>
    <row r="420" spans="1:3" s="112" customFormat="1" ht="12.75" customHeight="1">
      <c r="A420" s="117"/>
      <c r="C420" s="180"/>
    </row>
    <row r="421" spans="1:3" s="112" customFormat="1" ht="12.75" customHeight="1">
      <c r="A421" s="117"/>
      <c r="C421" s="180"/>
    </row>
    <row r="422" spans="1:3" s="112" customFormat="1" ht="12.75" customHeight="1">
      <c r="A422" s="117"/>
      <c r="C422" s="180"/>
    </row>
    <row r="423" spans="1:3" s="112" customFormat="1" ht="12.75" customHeight="1">
      <c r="A423" s="117"/>
      <c r="C423" s="180"/>
    </row>
    <row r="424" spans="1:3" s="112" customFormat="1" ht="12.75" customHeight="1">
      <c r="A424" s="117"/>
      <c r="C424" s="180"/>
    </row>
    <row r="425" spans="1:3" s="112" customFormat="1" ht="12.75" customHeight="1">
      <c r="A425" s="117"/>
      <c r="C425" s="180"/>
    </row>
    <row r="426" spans="1:3" s="112" customFormat="1" ht="12.75" customHeight="1">
      <c r="A426" s="117"/>
      <c r="C426" s="180"/>
    </row>
    <row r="427" spans="1:3" s="112" customFormat="1" ht="12.75" customHeight="1">
      <c r="A427" s="117"/>
      <c r="C427" s="180"/>
    </row>
    <row r="428" spans="1:3" s="112" customFormat="1" ht="12.75" customHeight="1">
      <c r="A428" s="117"/>
      <c r="C428" s="180"/>
    </row>
    <row r="429" spans="1:3" s="112" customFormat="1" ht="12.75" customHeight="1">
      <c r="A429" s="117"/>
      <c r="C429" s="180"/>
    </row>
    <row r="430" spans="1:3" s="112" customFormat="1" ht="12.75" customHeight="1">
      <c r="A430" s="117"/>
      <c r="C430" s="180"/>
    </row>
    <row r="431" spans="1:3" s="112" customFormat="1" ht="12.75" customHeight="1">
      <c r="A431" s="117"/>
      <c r="C431" s="180"/>
    </row>
    <row r="432" spans="1:3" s="112" customFormat="1" ht="12.75" customHeight="1">
      <c r="A432" s="117"/>
      <c r="C432" s="180"/>
    </row>
    <row r="433" spans="1:3" s="112" customFormat="1" ht="12.75" customHeight="1">
      <c r="A433" s="117"/>
      <c r="C433" s="180"/>
    </row>
    <row r="434" spans="1:3" s="112" customFormat="1" ht="12.75" customHeight="1">
      <c r="A434" s="117"/>
      <c r="C434" s="180"/>
    </row>
    <row r="435" spans="1:3" s="112" customFormat="1" ht="12.75" customHeight="1">
      <c r="A435" s="117"/>
      <c r="C435" s="180"/>
    </row>
    <row r="436" spans="1:3" s="112" customFormat="1" ht="12.75" customHeight="1">
      <c r="A436" s="117"/>
      <c r="C436" s="180"/>
    </row>
    <row r="437" spans="1:3" s="112" customFormat="1" ht="12.75" customHeight="1">
      <c r="A437" s="117"/>
      <c r="C437" s="180"/>
    </row>
    <row r="438" spans="1:3" s="112" customFormat="1" ht="12.75" customHeight="1">
      <c r="A438" s="117"/>
      <c r="C438" s="180"/>
    </row>
    <row r="439" spans="1:3" s="112" customFormat="1" ht="12.75" customHeight="1">
      <c r="A439" s="117"/>
      <c r="C439" s="180"/>
    </row>
    <row r="440" spans="1:3" s="112" customFormat="1" ht="12.75" customHeight="1">
      <c r="A440" s="117"/>
      <c r="C440" s="180"/>
    </row>
    <row r="441" spans="1:3" s="112" customFormat="1" ht="12.75" customHeight="1">
      <c r="A441" s="117"/>
      <c r="C441" s="180"/>
    </row>
    <row r="442" spans="1:3" s="112" customFormat="1" ht="12.75" customHeight="1">
      <c r="A442" s="117"/>
      <c r="C442" s="180"/>
    </row>
    <row r="443" spans="1:3" s="112" customFormat="1" ht="12.75" customHeight="1">
      <c r="A443" s="117"/>
      <c r="C443" s="180"/>
    </row>
    <row r="444" spans="1:3" s="112" customFormat="1" ht="12.75" customHeight="1">
      <c r="A444" s="117"/>
      <c r="C444" s="180"/>
    </row>
    <row r="445" spans="1:3" s="112" customFormat="1" ht="12.75" customHeight="1">
      <c r="A445" s="117"/>
      <c r="C445" s="180"/>
    </row>
    <row r="446" spans="1:3" s="112" customFormat="1" ht="12.75" customHeight="1">
      <c r="A446" s="117"/>
      <c r="C446" s="180"/>
    </row>
    <row r="447" spans="1:3" s="112" customFormat="1" ht="12.75" customHeight="1">
      <c r="A447" s="117"/>
      <c r="C447" s="180"/>
    </row>
    <row r="448" spans="1:3" s="112" customFormat="1" ht="12.75" customHeight="1">
      <c r="A448" s="117"/>
      <c r="C448" s="180"/>
    </row>
    <row r="449" spans="1:3" s="112" customFormat="1" ht="12.75" customHeight="1">
      <c r="A449" s="117"/>
      <c r="C449" s="180"/>
    </row>
    <row r="450" spans="1:3" s="112" customFormat="1" ht="12.75" customHeight="1">
      <c r="A450" s="117"/>
      <c r="C450" s="180"/>
    </row>
    <row r="451" spans="1:3" s="112" customFormat="1" ht="12.75" customHeight="1">
      <c r="A451" s="117"/>
      <c r="C451" s="180"/>
    </row>
    <row r="452" spans="1:3" s="112" customFormat="1" ht="12.75" customHeight="1">
      <c r="A452" s="117"/>
      <c r="C452" s="180"/>
    </row>
    <row r="453" spans="1:3" s="112" customFormat="1" ht="12.75" customHeight="1">
      <c r="A453" s="117"/>
      <c r="C453" s="180"/>
    </row>
    <row r="454" spans="1:3" s="112" customFormat="1" ht="12.75" customHeight="1">
      <c r="A454" s="117"/>
      <c r="C454" s="180"/>
    </row>
    <row r="455" spans="1:3" s="112" customFormat="1" ht="12.75" customHeight="1">
      <c r="A455" s="117"/>
      <c r="C455" s="180"/>
    </row>
    <row r="456" spans="1:3" s="112" customFormat="1" ht="12.75" customHeight="1">
      <c r="A456" s="117"/>
      <c r="C456" s="180"/>
    </row>
    <row r="457" spans="1:3" s="112" customFormat="1" ht="12.75" customHeight="1">
      <c r="A457" s="117"/>
      <c r="C457" s="180"/>
    </row>
    <row r="458" spans="1:3" s="112" customFormat="1" ht="12.75" customHeight="1">
      <c r="A458" s="117"/>
      <c r="C458" s="180"/>
    </row>
    <row r="459" spans="1:3" s="112" customFormat="1" ht="12.75" customHeight="1">
      <c r="A459" s="117"/>
      <c r="C459" s="180"/>
    </row>
    <row r="460" spans="1:3" s="112" customFormat="1" ht="12.75" customHeight="1">
      <c r="A460" s="117"/>
      <c r="C460" s="180"/>
    </row>
    <row r="461" spans="1:3" s="112" customFormat="1" ht="12.75" customHeight="1">
      <c r="A461" s="117"/>
      <c r="C461" s="180"/>
    </row>
    <row r="462" spans="1:3" s="112" customFormat="1" ht="12.75" customHeight="1">
      <c r="A462" s="117"/>
      <c r="C462" s="180"/>
    </row>
    <row r="463" spans="1:3" s="112" customFormat="1" ht="12.75" customHeight="1">
      <c r="A463" s="117"/>
      <c r="C463" s="180"/>
    </row>
    <row r="464" spans="1:3" s="112" customFormat="1" ht="12.75" customHeight="1">
      <c r="A464" s="117"/>
      <c r="C464" s="180"/>
    </row>
    <row r="465" spans="1:3" s="112" customFormat="1" ht="12.75" customHeight="1">
      <c r="A465" s="117"/>
      <c r="C465" s="180"/>
    </row>
    <row r="466" spans="1:3" s="112" customFormat="1" ht="12.75" customHeight="1">
      <c r="A466" s="117"/>
      <c r="C466" s="180"/>
    </row>
    <row r="467" spans="1:3" s="112" customFormat="1" ht="12.75" customHeight="1">
      <c r="A467" s="117"/>
      <c r="C467" s="180"/>
    </row>
    <row r="468" spans="1:3" s="112" customFormat="1" ht="12.75" customHeight="1">
      <c r="A468" s="117"/>
      <c r="C468" s="180"/>
    </row>
    <row r="469" spans="1:3" s="112" customFormat="1" ht="12.75" customHeight="1">
      <c r="A469" s="117"/>
      <c r="C469" s="180"/>
    </row>
    <row r="470" spans="1:3" s="112" customFormat="1" ht="12.75" customHeight="1">
      <c r="A470" s="117"/>
      <c r="C470" s="180"/>
    </row>
    <row r="471" spans="1:3" s="112" customFormat="1" ht="12.75" customHeight="1">
      <c r="A471" s="117"/>
      <c r="C471" s="180"/>
    </row>
    <row r="472" spans="1:3" s="112" customFormat="1" ht="12.75" customHeight="1">
      <c r="A472" s="117"/>
      <c r="C472" s="180"/>
    </row>
    <row r="473" spans="1:3" s="112" customFormat="1" ht="12.75" customHeight="1">
      <c r="A473" s="117"/>
      <c r="C473" s="180"/>
    </row>
    <row r="474" spans="1:3" s="112" customFormat="1" ht="12.75" customHeight="1">
      <c r="A474" s="117"/>
      <c r="C474" s="180"/>
    </row>
    <row r="475" spans="1:3" s="112" customFormat="1" ht="12.75" customHeight="1">
      <c r="A475" s="117"/>
      <c r="C475" s="180"/>
    </row>
    <row r="476" spans="1:3" s="112" customFormat="1" ht="12.75" customHeight="1">
      <c r="A476" s="117"/>
      <c r="C476" s="180"/>
    </row>
    <row r="477" spans="1:3" s="112" customFormat="1" ht="12.75" customHeight="1">
      <c r="A477" s="117"/>
      <c r="C477" s="180"/>
    </row>
    <row r="478" spans="1:3" s="112" customFormat="1" ht="12.75" customHeight="1">
      <c r="A478" s="117"/>
      <c r="C478" s="180"/>
    </row>
    <row r="479" spans="1:3" s="112" customFormat="1" ht="12.75" customHeight="1">
      <c r="A479" s="117"/>
      <c r="C479" s="180"/>
    </row>
    <row r="480" spans="1:3" s="112" customFormat="1" ht="12.75" customHeight="1">
      <c r="A480" s="117"/>
      <c r="C480" s="180"/>
    </row>
    <row r="481" spans="1:3" s="112" customFormat="1" ht="12.75" customHeight="1">
      <c r="A481" s="117"/>
      <c r="C481" s="180"/>
    </row>
    <row r="482" spans="1:3" s="112" customFormat="1" ht="12.75" customHeight="1">
      <c r="A482" s="117"/>
      <c r="C482" s="180"/>
    </row>
    <row r="483" spans="1:3" s="112" customFormat="1" ht="12.75" customHeight="1">
      <c r="A483" s="117"/>
      <c r="C483" s="180"/>
    </row>
    <row r="484" spans="1:3" s="112" customFormat="1" ht="12.75" customHeight="1">
      <c r="A484" s="117"/>
      <c r="C484" s="180"/>
    </row>
    <row r="485" spans="1:3" s="112" customFormat="1" ht="12.75" customHeight="1">
      <c r="A485" s="117"/>
      <c r="C485" s="180"/>
    </row>
    <row r="486" spans="1:3" s="112" customFormat="1" ht="12.75" customHeight="1">
      <c r="A486" s="117"/>
      <c r="C486" s="180"/>
    </row>
    <row r="487" spans="1:3" s="112" customFormat="1" ht="12.75" customHeight="1">
      <c r="A487" s="117"/>
      <c r="C487" s="180"/>
    </row>
    <row r="488" spans="1:3" s="112" customFormat="1" ht="12.75" customHeight="1">
      <c r="A488" s="117"/>
      <c r="C488" s="180"/>
    </row>
    <row r="489" spans="1:3" s="112" customFormat="1" ht="12.75" customHeight="1">
      <c r="A489" s="117"/>
      <c r="C489" s="180"/>
    </row>
    <row r="490" spans="1:3" s="112" customFormat="1" ht="12.75" customHeight="1">
      <c r="A490" s="117"/>
      <c r="C490" s="180"/>
    </row>
    <row r="491" spans="1:3" s="112" customFormat="1" ht="12.75" customHeight="1">
      <c r="A491" s="117"/>
      <c r="C491" s="180"/>
    </row>
    <row r="492" spans="1:3" s="112" customFormat="1" ht="12.75" customHeight="1">
      <c r="A492" s="117"/>
      <c r="C492" s="180"/>
    </row>
    <row r="493" spans="1:3" s="112" customFormat="1" ht="12.75" customHeight="1">
      <c r="A493" s="117"/>
      <c r="C493" s="180"/>
    </row>
    <row r="494" spans="1:3" s="112" customFormat="1" ht="12.75" customHeight="1">
      <c r="A494" s="117"/>
      <c r="C494" s="180"/>
    </row>
    <row r="495" spans="1:3" s="112" customFormat="1" ht="12.75" customHeight="1">
      <c r="A495" s="117"/>
      <c r="C495" s="180"/>
    </row>
    <row r="496" spans="1:3" s="112" customFormat="1" ht="12.75" customHeight="1">
      <c r="A496" s="117"/>
      <c r="C496" s="180"/>
    </row>
    <row r="497" spans="1:3" s="112" customFormat="1" ht="12.75" customHeight="1">
      <c r="A497" s="117"/>
      <c r="C497" s="180"/>
    </row>
    <row r="498" spans="1:3" s="112" customFormat="1" ht="12.75" customHeight="1">
      <c r="A498" s="117"/>
      <c r="C498" s="180"/>
    </row>
    <row r="499" spans="1:3" s="112" customFormat="1" ht="12.75" customHeight="1">
      <c r="A499" s="117"/>
      <c r="C499" s="180"/>
    </row>
    <row r="500" spans="1:3" s="112" customFormat="1" ht="12.75" customHeight="1">
      <c r="A500" s="117"/>
      <c r="C500" s="180"/>
    </row>
    <row r="501" spans="1:3" s="112" customFormat="1" ht="12.75" customHeight="1">
      <c r="A501" s="117"/>
      <c r="C501" s="180"/>
    </row>
    <row r="502" spans="1:3" s="112" customFormat="1" ht="12.75" customHeight="1">
      <c r="A502" s="117"/>
      <c r="C502" s="180"/>
    </row>
    <row r="503" spans="1:3" s="112" customFormat="1" ht="12.75" customHeight="1">
      <c r="A503" s="117"/>
      <c r="C503" s="180"/>
    </row>
    <row r="504" spans="1:3" s="112" customFormat="1" ht="12.75" customHeight="1">
      <c r="A504" s="117"/>
      <c r="C504" s="180"/>
    </row>
    <row r="505" spans="1:3" s="112" customFormat="1" ht="12.75" customHeight="1">
      <c r="A505" s="117"/>
      <c r="C505" s="180"/>
    </row>
    <row r="506" spans="1:3" s="112" customFormat="1" ht="12.75" customHeight="1">
      <c r="A506" s="117"/>
      <c r="C506" s="180"/>
    </row>
    <row r="507" spans="1:3" s="112" customFormat="1" ht="12.75" customHeight="1">
      <c r="A507" s="117"/>
      <c r="C507" s="180"/>
    </row>
    <row r="508" spans="1:3" s="112" customFormat="1" ht="12.75" customHeight="1">
      <c r="A508" s="117"/>
      <c r="C508" s="180"/>
    </row>
    <row r="509" spans="1:3" s="112" customFormat="1" ht="12.75" customHeight="1">
      <c r="A509" s="117"/>
      <c r="C509" s="180"/>
    </row>
    <row r="510" spans="1:3" s="112" customFormat="1" ht="12.75" customHeight="1">
      <c r="A510" s="117"/>
      <c r="C510" s="180"/>
    </row>
    <row r="511" spans="1:3" s="112" customFormat="1" ht="12.75" customHeight="1">
      <c r="A511" s="117"/>
      <c r="C511" s="180"/>
    </row>
    <row r="512" spans="1:3" s="112" customFormat="1" ht="12.75" customHeight="1">
      <c r="A512" s="117"/>
      <c r="C512" s="180"/>
    </row>
  </sheetData>
  <autoFilter ref="A1:F54" xr:uid="{285F756A-0CD0-4B51-B946-84638EC6FA2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222E-DC1F-4D26-932A-07609C691D34}">
  <dimension ref="A1:AD515"/>
  <sheetViews>
    <sheetView zoomScaleNormal="100" workbookViewId="0">
      <pane ySplit="1" topLeftCell="A68" activePane="bottomLeft" state="frozen"/>
      <selection pane="bottomLeft" activeCell="A136" sqref="A136"/>
    </sheetView>
  </sheetViews>
  <sheetFormatPr defaultColWidth="9.453125" defaultRowHeight="12.75" customHeight="1"/>
  <cols>
    <col min="1" max="1" width="33.453125" style="117" bestFit="1" customWidth="1"/>
    <col min="2" max="2" width="11.54296875" style="112" customWidth="1"/>
    <col min="3" max="3" width="15.453125" style="145" customWidth="1"/>
    <col min="4" max="11" width="13.54296875" style="112" customWidth="1"/>
    <col min="12" max="12" width="10.54296875" style="112" bestFit="1" customWidth="1"/>
    <col min="13" max="14" width="10.54296875" style="117" bestFit="1" customWidth="1"/>
    <col min="15" max="15" width="15.453125" style="117" customWidth="1"/>
    <col min="16" max="16" width="15.7265625" style="112" customWidth="1"/>
    <col min="17" max="17" width="15.1796875" style="112" customWidth="1"/>
    <col min="18" max="18" width="12.54296875" style="117" hidden="1" customWidth="1"/>
    <col min="19" max="19" width="72.26953125" style="117" customWidth="1"/>
    <col min="20" max="23" width="12.54296875" style="117" bestFit="1" customWidth="1"/>
    <col min="24" max="16384" width="9.453125" style="117"/>
  </cols>
  <sheetData>
    <row r="1" spans="1:17" s="112" customFormat="1" ht="12.75" customHeight="1">
      <c r="A1" s="163" t="s">
        <v>29</v>
      </c>
      <c r="B1" s="164" t="s">
        <v>28</v>
      </c>
      <c r="C1" s="164" t="s">
        <v>909</v>
      </c>
      <c r="D1" s="164" t="s">
        <v>910</v>
      </c>
      <c r="E1" s="164" t="s">
        <v>911</v>
      </c>
      <c r="F1" s="164" t="s">
        <v>912</v>
      </c>
      <c r="G1" s="164" t="s">
        <v>913</v>
      </c>
      <c r="H1" s="164" t="s">
        <v>914</v>
      </c>
      <c r="I1" s="164" t="s">
        <v>915</v>
      </c>
      <c r="J1" s="164" t="s">
        <v>916</v>
      </c>
      <c r="K1" s="164" t="s">
        <v>917</v>
      </c>
      <c r="L1" s="111" t="s">
        <v>33</v>
      </c>
      <c r="M1" s="126" t="s">
        <v>918</v>
      </c>
      <c r="P1" s="112" t="s">
        <v>919</v>
      </c>
      <c r="Q1" s="112" t="s">
        <v>920</v>
      </c>
    </row>
    <row r="2" spans="1:17" s="112" customFormat="1" ht="12.75" customHeight="1">
      <c r="A2" s="136" t="str">
        <f>_xlfn.XLOOKUP(B2,Summary!B:B,Summary!C:C,"")</f>
        <v>Mara T2</v>
      </c>
      <c r="B2" s="199" t="s">
        <v>44</v>
      </c>
      <c r="C2" s="200" t="s">
        <v>921</v>
      </c>
      <c r="D2" s="199" t="s">
        <v>922</v>
      </c>
      <c r="E2" s="199" t="s">
        <v>923</v>
      </c>
      <c r="F2" s="199" t="s">
        <v>924</v>
      </c>
      <c r="G2" s="199" t="s">
        <v>925</v>
      </c>
      <c r="H2" s="199" t="s">
        <v>926</v>
      </c>
      <c r="I2" s="199" t="s">
        <v>927</v>
      </c>
      <c r="J2" s="199" t="s">
        <v>928</v>
      </c>
      <c r="K2" s="199" t="s">
        <v>929</v>
      </c>
      <c r="L2" s="112">
        <f>_xlfn.XLOOKUP(B2,Summary!B:B,Summary!G:G)</f>
        <v>0</v>
      </c>
      <c r="M2" s="126"/>
    </row>
    <row r="3" spans="1:17" s="112" customFormat="1" ht="12.75" customHeight="1">
      <c r="A3" s="136" t="str">
        <f>_xlfn.XLOOKUP(B3,Summary!B:B,Summary!C:C,"")</f>
        <v>Whatsminer M63S</v>
      </c>
      <c r="B3" s="199" t="s">
        <v>55</v>
      </c>
      <c r="C3" s="199"/>
      <c r="D3" s="199" t="s">
        <v>930</v>
      </c>
      <c r="E3" s="199"/>
      <c r="F3" s="199"/>
      <c r="G3" s="199"/>
      <c r="H3" s="199"/>
      <c r="I3" s="199"/>
      <c r="J3" s="199"/>
      <c r="K3" s="199"/>
      <c r="L3" s="112">
        <f>_xlfn.XLOOKUP(B3,Summary!B:B,Summary!G:G)</f>
        <v>0</v>
      </c>
      <c r="M3" s="126"/>
      <c r="P3" s="201"/>
    </row>
    <row r="4" spans="1:17" s="112" customFormat="1" ht="12.75" customHeight="1">
      <c r="A4" s="136" t="str">
        <f>_xlfn.XLOOKUP(B4,Summary!B:B,Summary!C:C,"")</f>
        <v>Mara T2</v>
      </c>
      <c r="B4" s="199" t="s">
        <v>64</v>
      </c>
      <c r="C4" s="165" t="s">
        <v>931</v>
      </c>
      <c r="D4" s="199" t="s">
        <v>932</v>
      </c>
      <c r="E4" s="198" t="s">
        <v>58</v>
      </c>
      <c r="F4" s="198" t="s">
        <v>58</v>
      </c>
      <c r="G4" s="198" t="s">
        <v>933</v>
      </c>
      <c r="H4" s="199" t="s">
        <v>934</v>
      </c>
      <c r="I4" s="198" t="s">
        <v>58</v>
      </c>
      <c r="J4" s="198" t="s">
        <v>58</v>
      </c>
      <c r="K4" s="198" t="s">
        <v>933</v>
      </c>
      <c r="L4" s="112">
        <f>_xlfn.XLOOKUP(B4,Summary!B:B,Summary!G:G)</f>
        <v>0</v>
      </c>
      <c r="M4" s="126"/>
      <c r="P4" s="201"/>
    </row>
    <row r="5" spans="1:17" ht="12.75" customHeight="1">
      <c r="A5" s="136" t="str">
        <f>_xlfn.XLOOKUP(B5,Summary!B:B,Summary!C:C,"")</f>
        <v>Teraflux AI3680</v>
      </c>
      <c r="B5" s="137" t="s">
        <v>66</v>
      </c>
      <c r="C5" s="165" t="s">
        <v>935</v>
      </c>
      <c r="D5" s="137" t="s">
        <v>936</v>
      </c>
      <c r="E5" s="176" t="s">
        <v>58</v>
      </c>
      <c r="F5" s="176" t="s">
        <v>58</v>
      </c>
      <c r="G5" s="176" t="s">
        <v>933</v>
      </c>
      <c r="H5" s="137" t="s">
        <v>937</v>
      </c>
      <c r="I5" s="176" t="s">
        <v>58</v>
      </c>
      <c r="J5" s="176" t="s">
        <v>58</v>
      </c>
      <c r="K5" s="176" t="s">
        <v>933</v>
      </c>
      <c r="L5" s="112">
        <f>_xlfn.XLOOKUP(B5,Summary!B:B,Summary!G:G)</f>
        <v>0</v>
      </c>
      <c r="M5" s="127" t="s">
        <v>938</v>
      </c>
      <c r="N5" s="117" t="s">
        <v>939</v>
      </c>
      <c r="P5" s="201"/>
      <c r="Q5" s="117"/>
    </row>
    <row r="6" spans="1:17" ht="12.75" customHeight="1">
      <c r="A6" s="136" t="str">
        <f>_xlfn.XLOOKUP(B6,Summary!B:B,Summary!C:C,"")</f>
        <v>Teraflux AI3680</v>
      </c>
      <c r="B6" s="137" t="s">
        <v>70</v>
      </c>
      <c r="C6" s="165" t="s">
        <v>940</v>
      </c>
      <c r="D6" s="137" t="s">
        <v>941</v>
      </c>
      <c r="E6" s="176" t="s">
        <v>58</v>
      </c>
      <c r="F6" s="176" t="s">
        <v>58</v>
      </c>
      <c r="G6" s="176" t="s">
        <v>933</v>
      </c>
      <c r="H6" s="137" t="s">
        <v>942</v>
      </c>
      <c r="I6" s="176" t="s">
        <v>58</v>
      </c>
      <c r="J6" s="176" t="s">
        <v>58</v>
      </c>
      <c r="K6" s="176" t="s">
        <v>933</v>
      </c>
      <c r="L6" s="112">
        <f>_xlfn.XLOOKUP(B6,Summary!B:B,Summary!G:G)</f>
        <v>0</v>
      </c>
      <c r="M6" s="128" t="s">
        <v>943</v>
      </c>
      <c r="N6" s="117" t="s">
        <v>939</v>
      </c>
      <c r="P6" s="201"/>
      <c r="Q6" s="117"/>
    </row>
    <row r="7" spans="1:17" ht="12.75" customHeight="1">
      <c r="A7" s="202" t="str">
        <f>_xlfn.XLOOKUP(B7,Summary!B:B,Summary!C:C,"")</f>
        <v>BixBit Hydro</v>
      </c>
      <c r="B7" s="137" t="s">
        <v>72</v>
      </c>
      <c r="C7" s="165" t="s">
        <v>944</v>
      </c>
      <c r="D7" s="137" t="s">
        <v>945</v>
      </c>
      <c r="E7" s="176" t="s">
        <v>58</v>
      </c>
      <c r="F7" s="176" t="s">
        <v>58</v>
      </c>
      <c r="G7" s="176" t="s">
        <v>933</v>
      </c>
      <c r="H7" s="137" t="s">
        <v>946</v>
      </c>
      <c r="I7" s="176" t="s">
        <v>58</v>
      </c>
      <c r="J7" s="176" t="s">
        <v>58</v>
      </c>
      <c r="K7" s="176" t="s">
        <v>933</v>
      </c>
      <c r="L7" s="112">
        <f>_xlfn.XLOOKUP(B7,Summary!B:B,Summary!G:G)</f>
        <v>0</v>
      </c>
      <c r="M7" s="129" t="s">
        <v>947</v>
      </c>
      <c r="N7" s="117" t="s">
        <v>939</v>
      </c>
      <c r="P7" s="201"/>
      <c r="Q7" s="117"/>
    </row>
    <row r="8" spans="1:17" ht="12.75" customHeight="1">
      <c r="A8" s="138" t="str">
        <f>_xlfn.XLOOKUP(B8,Summary!B:B,Summary!C:C,"")</f>
        <v>Whatsminer M56S++</v>
      </c>
      <c r="B8" s="139" t="s">
        <v>75</v>
      </c>
      <c r="C8" s="166" t="s">
        <v>948</v>
      </c>
      <c r="D8" s="139" t="s">
        <v>949</v>
      </c>
      <c r="E8" s="139" t="s">
        <v>58</v>
      </c>
      <c r="F8" s="139" t="s">
        <v>58</v>
      </c>
      <c r="G8" s="139" t="s">
        <v>933</v>
      </c>
      <c r="H8" s="139" t="s">
        <v>950</v>
      </c>
      <c r="I8" s="139" t="s">
        <v>58</v>
      </c>
      <c r="J8" s="139" t="s">
        <v>58</v>
      </c>
      <c r="K8" s="139" t="s">
        <v>933</v>
      </c>
      <c r="L8" s="112">
        <f>_xlfn.XLOOKUP(B8,Summary!B:B,Summary!G:G)</f>
        <v>1</v>
      </c>
      <c r="M8" s="130" t="s">
        <v>951</v>
      </c>
      <c r="N8" s="117" t="s">
        <v>939</v>
      </c>
      <c r="O8" s="112"/>
      <c r="P8" s="112" t="s">
        <v>952</v>
      </c>
      <c r="Q8" s="112" t="s">
        <v>953</v>
      </c>
    </row>
    <row r="9" spans="1:17" ht="12.75" customHeight="1">
      <c r="A9" s="138" t="str">
        <f>_xlfn.XLOOKUP(B9,Summary!B:B,Summary!C:C,"")</f>
        <v>Whatsminer M56S++</v>
      </c>
      <c r="B9" s="139" t="s">
        <v>83</v>
      </c>
      <c r="C9" s="166" t="s">
        <v>954</v>
      </c>
      <c r="D9" s="139" t="s">
        <v>955</v>
      </c>
      <c r="E9" s="139" t="s">
        <v>956</v>
      </c>
      <c r="F9" s="139" t="s">
        <v>957</v>
      </c>
      <c r="G9" s="139" t="s">
        <v>958</v>
      </c>
      <c r="H9" s="139" t="s">
        <v>959</v>
      </c>
      <c r="I9" s="139" t="s">
        <v>960</v>
      </c>
      <c r="J9" s="139" t="s">
        <v>961</v>
      </c>
      <c r="K9" s="139" t="s">
        <v>962</v>
      </c>
      <c r="L9" s="112">
        <f>_xlfn.XLOOKUP(B9,Summary!B:B,Summary!G:G)</f>
        <v>1</v>
      </c>
      <c r="M9" s="133" t="s">
        <v>963</v>
      </c>
      <c r="N9" s="117" t="s">
        <v>939</v>
      </c>
      <c r="O9" s="112"/>
      <c r="P9" s="112" t="s">
        <v>952</v>
      </c>
      <c r="Q9" s="112" t="s">
        <v>953</v>
      </c>
    </row>
    <row r="10" spans="1:17" ht="12.75" customHeight="1">
      <c r="A10" s="138" t="str">
        <f>_xlfn.XLOOKUP(B10,Summary!B:B,Summary!C:C,"")</f>
        <v>Whatsminer M56S++</v>
      </c>
      <c r="B10" s="139" t="s">
        <v>84</v>
      </c>
      <c r="C10" s="166" t="s">
        <v>964</v>
      </c>
      <c r="D10" s="139" t="s">
        <v>965</v>
      </c>
      <c r="E10" s="139" t="s">
        <v>966</v>
      </c>
      <c r="F10" s="139" t="s">
        <v>967</v>
      </c>
      <c r="G10" s="139" t="s">
        <v>968</v>
      </c>
      <c r="H10" s="139" t="s">
        <v>969</v>
      </c>
      <c r="I10" s="139" t="s">
        <v>970</v>
      </c>
      <c r="J10" s="139" t="s">
        <v>971</v>
      </c>
      <c r="K10" s="139" t="s">
        <v>972</v>
      </c>
      <c r="L10" s="112">
        <f>_xlfn.XLOOKUP(B10,Summary!B:B,Summary!G:G)</f>
        <v>1</v>
      </c>
      <c r="M10" s="131" t="s">
        <v>973</v>
      </c>
      <c r="N10" s="117" t="s">
        <v>974</v>
      </c>
      <c r="O10" s="112"/>
      <c r="P10" s="112" t="s">
        <v>952</v>
      </c>
      <c r="Q10" s="112" t="s">
        <v>953</v>
      </c>
    </row>
    <row r="11" spans="1:17" ht="12.75" customHeight="1">
      <c r="A11" s="138" t="str">
        <f>_xlfn.XLOOKUP(B11,Summary!B:B,Summary!C:C,"")</f>
        <v>Whatsminer M56S++</v>
      </c>
      <c r="B11" s="139" t="s">
        <v>87</v>
      </c>
      <c r="C11" s="166" t="s">
        <v>975</v>
      </c>
      <c r="D11" s="139" t="s">
        <v>976</v>
      </c>
      <c r="E11" s="139" t="s">
        <v>977</v>
      </c>
      <c r="F11" s="139" t="s">
        <v>978</v>
      </c>
      <c r="G11" s="139" t="s">
        <v>979</v>
      </c>
      <c r="H11" s="139" t="s">
        <v>980</v>
      </c>
      <c r="I11" s="139" t="s">
        <v>981</v>
      </c>
      <c r="J11" s="139" t="s">
        <v>982</v>
      </c>
      <c r="K11" s="139" t="s">
        <v>983</v>
      </c>
      <c r="L11" s="112">
        <f>_xlfn.XLOOKUP(B11,Summary!B:B,Summary!G:G)</f>
        <v>1</v>
      </c>
      <c r="M11" s="132" t="s">
        <v>984</v>
      </c>
      <c r="N11" s="117" t="s">
        <v>974</v>
      </c>
      <c r="O11" s="112"/>
      <c r="P11" s="112" t="s">
        <v>952</v>
      </c>
      <c r="Q11" s="112" t="s">
        <v>953</v>
      </c>
    </row>
    <row r="12" spans="1:17" ht="12.75" customHeight="1">
      <c r="A12" s="138" t="str">
        <f>_xlfn.XLOOKUP(B12,Summary!B:B,Summary!C:C,"")</f>
        <v>Whatsminer M56S++</v>
      </c>
      <c r="B12" s="139" t="s">
        <v>88</v>
      </c>
      <c r="C12" s="166" t="s">
        <v>985</v>
      </c>
      <c r="D12" s="139" t="s">
        <v>986</v>
      </c>
      <c r="E12" s="139" t="s">
        <v>987</v>
      </c>
      <c r="F12" s="139" t="s">
        <v>988</v>
      </c>
      <c r="G12" s="139" t="s">
        <v>989</v>
      </c>
      <c r="H12" s="139" t="s">
        <v>990</v>
      </c>
      <c r="I12" s="139" t="s">
        <v>991</v>
      </c>
      <c r="J12" s="139" t="s">
        <v>992</v>
      </c>
      <c r="K12" s="139" t="s">
        <v>993</v>
      </c>
      <c r="L12" s="112">
        <f>_xlfn.XLOOKUP(B12,Summary!B:B,Summary!G:G)</f>
        <v>1</v>
      </c>
      <c r="M12" s="134" t="s">
        <v>994</v>
      </c>
      <c r="N12" s="117" t="s">
        <v>974</v>
      </c>
      <c r="O12" s="112"/>
      <c r="P12" s="112" t="s">
        <v>952</v>
      </c>
      <c r="Q12" s="112" t="s">
        <v>953</v>
      </c>
    </row>
    <row r="13" spans="1:17" ht="12.75" customHeight="1">
      <c r="A13" s="138" t="str">
        <f>_xlfn.XLOOKUP(B13,Summary!B:B,Summary!C:C,"")</f>
        <v>Whatsminer M56S++</v>
      </c>
      <c r="B13" s="139" t="s">
        <v>90</v>
      </c>
      <c r="C13" s="166" t="s">
        <v>995</v>
      </c>
      <c r="D13" s="139" t="s">
        <v>996</v>
      </c>
      <c r="E13" s="139" t="s">
        <v>997</v>
      </c>
      <c r="F13" s="139" t="s">
        <v>998</v>
      </c>
      <c r="G13" s="139" t="s">
        <v>999</v>
      </c>
      <c r="H13" s="139" t="s">
        <v>1000</v>
      </c>
      <c r="I13" s="139" t="s">
        <v>1001</v>
      </c>
      <c r="J13" s="139" t="s">
        <v>1002</v>
      </c>
      <c r="K13" s="139" t="s">
        <v>1003</v>
      </c>
      <c r="L13" s="112">
        <f>_xlfn.XLOOKUP(B13,Summary!B:B,Summary!G:G)</f>
        <v>1</v>
      </c>
      <c r="N13" s="112"/>
      <c r="O13" s="112"/>
      <c r="P13" s="112" t="s">
        <v>952</v>
      </c>
      <c r="Q13" s="112" t="s">
        <v>953</v>
      </c>
    </row>
    <row r="14" spans="1:17" ht="12.75" customHeight="1">
      <c r="A14" s="121" t="str">
        <f>_xlfn.XLOOKUP(B14,Summary!B:B,Summary!C:C,"")</f>
        <v>Whatsminer M56S++</v>
      </c>
      <c r="B14" s="120" t="s">
        <v>91</v>
      </c>
      <c r="C14" s="167" t="s">
        <v>1004</v>
      </c>
      <c r="D14" s="120" t="s">
        <v>1005</v>
      </c>
      <c r="E14" s="120" t="s">
        <v>1006</v>
      </c>
      <c r="F14" s="120" t="s">
        <v>1007</v>
      </c>
      <c r="G14" s="120" t="s">
        <v>1008</v>
      </c>
      <c r="H14" s="120" t="s">
        <v>1009</v>
      </c>
      <c r="I14" s="120" t="s">
        <v>1010</v>
      </c>
      <c r="J14" s="120" t="s">
        <v>1011</v>
      </c>
      <c r="K14" s="120" t="s">
        <v>1012</v>
      </c>
      <c r="L14" s="112" t="str">
        <f>_xlfn.XLOOKUP(B14,Summary!B:B,Summary!G:G)</f>
        <v>1+</v>
      </c>
      <c r="N14" s="112"/>
      <c r="O14" s="112"/>
      <c r="P14" s="112" t="s">
        <v>952</v>
      </c>
      <c r="Q14" s="112" t="s">
        <v>953</v>
      </c>
    </row>
    <row r="15" spans="1:17" ht="12.75" customHeight="1">
      <c r="A15" s="121" t="str">
        <f>_xlfn.XLOOKUP(B15,Summary!B:B,Summary!C:C,"")</f>
        <v>Whatsminer M56S++</v>
      </c>
      <c r="B15" s="120" t="s">
        <v>98</v>
      </c>
      <c r="C15" s="167" t="s">
        <v>1013</v>
      </c>
      <c r="D15" s="120" t="s">
        <v>1014</v>
      </c>
      <c r="E15" s="120" t="s">
        <v>1015</v>
      </c>
      <c r="F15" s="120" t="s">
        <v>1016</v>
      </c>
      <c r="G15" s="120" t="s">
        <v>1017</v>
      </c>
      <c r="H15" s="120" t="s">
        <v>1018</v>
      </c>
      <c r="I15" s="120" t="s">
        <v>1019</v>
      </c>
      <c r="J15" s="120" t="s">
        <v>1020</v>
      </c>
      <c r="K15" s="120" t="s">
        <v>1021</v>
      </c>
      <c r="L15" s="112" t="str">
        <f>_xlfn.XLOOKUP(B15,Summary!B:B,Summary!G:G)</f>
        <v>1+</v>
      </c>
      <c r="N15" s="112"/>
      <c r="O15" s="112"/>
      <c r="P15" s="112" t="s">
        <v>952</v>
      </c>
      <c r="Q15" s="112" t="s">
        <v>953</v>
      </c>
    </row>
    <row r="16" spans="1:17" ht="12.75" customHeight="1">
      <c r="A16" s="121" t="str">
        <f>_xlfn.XLOOKUP(B16,Summary!B:B,Summary!C:C,"")</f>
        <v>Whatsminer M56S++</v>
      </c>
      <c r="B16" s="120" t="s">
        <v>99</v>
      </c>
      <c r="C16" s="167" t="s">
        <v>1022</v>
      </c>
      <c r="D16" s="120" t="s">
        <v>1023</v>
      </c>
      <c r="E16" s="120" t="s">
        <v>1024</v>
      </c>
      <c r="F16" s="120" t="s">
        <v>1025</v>
      </c>
      <c r="G16" s="120" t="s">
        <v>1026</v>
      </c>
      <c r="H16" s="120" t="s">
        <v>1027</v>
      </c>
      <c r="I16" s="120" t="s">
        <v>1028</v>
      </c>
      <c r="J16" s="120" t="s">
        <v>1029</v>
      </c>
      <c r="K16" s="120" t="s">
        <v>1030</v>
      </c>
      <c r="L16" s="112" t="str">
        <f>_xlfn.XLOOKUP(B16,Summary!B:B,Summary!G:G)</f>
        <v>1+</v>
      </c>
      <c r="N16" s="112"/>
      <c r="O16" s="112"/>
      <c r="P16" s="112" t="s">
        <v>952</v>
      </c>
      <c r="Q16" s="112" t="s">
        <v>953</v>
      </c>
    </row>
    <row r="17" spans="1:30" ht="12.75" customHeight="1">
      <c r="A17" s="121" t="str">
        <f>_xlfn.XLOOKUP(B17,Summary!B:B,Summary!C:C,"")</f>
        <v>Whatsminer M66S</v>
      </c>
      <c r="B17" s="120" t="s">
        <v>102</v>
      </c>
      <c r="C17" s="167" t="s">
        <v>1031</v>
      </c>
      <c r="D17" s="120" t="s">
        <v>1032</v>
      </c>
      <c r="E17" s="120" t="s">
        <v>58</v>
      </c>
      <c r="F17" s="120" t="s">
        <v>58</v>
      </c>
      <c r="G17" s="120" t="s">
        <v>933</v>
      </c>
      <c r="H17" s="120" t="s">
        <v>1033</v>
      </c>
      <c r="I17" s="120" t="s">
        <v>58</v>
      </c>
      <c r="J17" s="120" t="s">
        <v>58</v>
      </c>
      <c r="K17" s="120" t="s">
        <v>933</v>
      </c>
      <c r="L17" s="112" t="str">
        <f>_xlfn.XLOOKUP(B17,Summary!B:B,Summary!G:G)</f>
        <v>1+</v>
      </c>
      <c r="N17" s="112"/>
      <c r="O17" s="112" t="str">
        <f t="shared" ref="O17:O24" si="0">N17&amp;"-255"</f>
        <v>-255</v>
      </c>
      <c r="P17" s="112" t="s">
        <v>952</v>
      </c>
      <c r="Q17" s="112" t="s">
        <v>953</v>
      </c>
    </row>
    <row r="18" spans="1:30" ht="12.75" customHeight="1">
      <c r="A18" s="202" t="str">
        <f>_xlfn.XLOOKUP(B18,Summary!B:B,Summary!C:C,"")</f>
        <v>Greenhash Hydro</v>
      </c>
      <c r="B18" s="137" t="s">
        <v>104</v>
      </c>
      <c r="C18" s="165" t="s">
        <v>1034</v>
      </c>
      <c r="D18" s="137" t="s">
        <v>1035</v>
      </c>
      <c r="E18" s="176" t="s">
        <v>58</v>
      </c>
      <c r="F18" s="176" t="s">
        <v>58</v>
      </c>
      <c r="G18" s="176" t="s">
        <v>933</v>
      </c>
      <c r="H18" s="137" t="s">
        <v>1036</v>
      </c>
      <c r="I18" s="176" t="s">
        <v>58</v>
      </c>
      <c r="J18" s="176" t="s">
        <v>58</v>
      </c>
      <c r="K18" s="176" t="s">
        <v>933</v>
      </c>
      <c r="L18" s="112">
        <f>_xlfn.XLOOKUP(B18,Summary!B:B,Summary!G:G)</f>
        <v>0</v>
      </c>
      <c r="N18" s="177"/>
      <c r="O18" s="112" t="str">
        <f t="shared" si="0"/>
        <v>-255</v>
      </c>
      <c r="Q18" s="117"/>
    </row>
    <row r="19" spans="1:30" ht="12.75" customHeight="1">
      <c r="A19" s="202" t="str">
        <f>_xlfn.XLOOKUP(B19,Summary!B:B,Summary!C:C,"")</f>
        <v>Fog Hashing Hydro</v>
      </c>
      <c r="B19" s="137" t="s">
        <v>110</v>
      </c>
      <c r="C19" s="165" t="s">
        <v>1037</v>
      </c>
      <c r="D19" s="137" t="s">
        <v>1038</v>
      </c>
      <c r="E19" s="176" t="s">
        <v>1039</v>
      </c>
      <c r="F19" s="176" t="s">
        <v>1040</v>
      </c>
      <c r="G19" s="176" t="s">
        <v>1041</v>
      </c>
      <c r="H19" s="137" t="s">
        <v>1042</v>
      </c>
      <c r="I19" s="176" t="s">
        <v>1043</v>
      </c>
      <c r="J19" s="176" t="s">
        <v>1044</v>
      </c>
      <c r="K19" s="176" t="s">
        <v>1045</v>
      </c>
      <c r="L19" s="112">
        <f>_xlfn.XLOOKUP(B19,Summary!B:B,Summary!G:G)</f>
        <v>0</v>
      </c>
      <c r="N19" s="177"/>
      <c r="O19" s="112" t="str">
        <f t="shared" si="0"/>
        <v>-255</v>
      </c>
      <c r="Q19" s="117"/>
    </row>
    <row r="20" spans="1:30" s="112" customFormat="1" ht="12.75" customHeight="1">
      <c r="A20" s="202" t="str">
        <f>_xlfn.XLOOKUP(B20,Summary!B:B,Summary!C:C,"")</f>
        <v>Fbox Hydro</v>
      </c>
      <c r="B20" s="137" t="s">
        <v>112</v>
      </c>
      <c r="C20" s="165" t="s">
        <v>1046</v>
      </c>
      <c r="D20" s="137" t="s">
        <v>1047</v>
      </c>
      <c r="E20" s="176" t="s">
        <v>1048</v>
      </c>
      <c r="F20" s="176" t="s">
        <v>1049</v>
      </c>
      <c r="G20" s="176" t="s">
        <v>1050</v>
      </c>
      <c r="H20" s="137" t="s">
        <v>1051</v>
      </c>
      <c r="I20" s="176" t="s">
        <v>1052</v>
      </c>
      <c r="J20" s="176" t="s">
        <v>1052</v>
      </c>
      <c r="K20" s="176" t="s">
        <v>1052</v>
      </c>
      <c r="L20" s="112">
        <f>_xlfn.XLOOKUP(B20,Summary!B:B,Summary!G:G)</f>
        <v>0</v>
      </c>
      <c r="N20" s="177"/>
      <c r="O20" s="112" t="str">
        <f t="shared" si="0"/>
        <v>-255</v>
      </c>
      <c r="U20" s="137" t="s">
        <v>112</v>
      </c>
      <c r="V20" s="165" t="s">
        <v>1046</v>
      </c>
      <c r="W20" s="137" t="s">
        <v>1053</v>
      </c>
      <c r="X20" s="176" t="s">
        <v>58</v>
      </c>
      <c r="Y20" s="176" t="s">
        <v>58</v>
      </c>
      <c r="Z20" s="176" t="s">
        <v>933</v>
      </c>
      <c r="AA20" s="137" t="s">
        <v>1054</v>
      </c>
      <c r="AB20" s="176" t="s">
        <v>58</v>
      </c>
      <c r="AC20" s="176" t="s">
        <v>58</v>
      </c>
      <c r="AD20" s="176" t="s">
        <v>933</v>
      </c>
    </row>
    <row r="21" spans="1:30" s="112" customFormat="1" ht="12.75" customHeight="1">
      <c r="A21" s="136" t="str">
        <f>_xlfn.XLOOKUP(B21,Summary!B:B,Summary!C:C,"")</f>
        <v>Antminer S21</v>
      </c>
      <c r="B21" s="137" t="s">
        <v>118</v>
      </c>
      <c r="C21" s="165" t="s">
        <v>1055</v>
      </c>
      <c r="D21" s="137" t="s">
        <v>1056</v>
      </c>
      <c r="E21" s="137" t="s">
        <v>1057</v>
      </c>
      <c r="F21" s="137" t="s">
        <v>1058</v>
      </c>
      <c r="G21" s="137" t="s">
        <v>1059</v>
      </c>
      <c r="H21" s="137" t="s">
        <v>1060</v>
      </c>
      <c r="I21" s="137" t="s">
        <v>1061</v>
      </c>
      <c r="J21" s="137" t="s">
        <v>1062</v>
      </c>
      <c r="K21" s="137" t="s">
        <v>1063</v>
      </c>
      <c r="L21" s="112">
        <f>_xlfn.XLOOKUP(B21,Summary!B:B,Summary!G:G)</f>
        <v>0</v>
      </c>
      <c r="O21" s="112" t="str">
        <f t="shared" si="0"/>
        <v>-255</v>
      </c>
      <c r="P21" s="112" t="s">
        <v>1064</v>
      </c>
      <c r="Q21" s="112" t="s">
        <v>1065</v>
      </c>
    </row>
    <row r="22" spans="1:30" s="112" customFormat="1" ht="12.75" customHeight="1">
      <c r="A22" s="138" t="str">
        <f>_xlfn.XLOOKUP(B22,Summary!B:B,Summary!C:C,"")</f>
        <v>Whatsminer M56S++</v>
      </c>
      <c r="B22" s="139" t="s">
        <v>120</v>
      </c>
      <c r="C22" s="166" t="s">
        <v>1066</v>
      </c>
      <c r="D22" s="139" t="s">
        <v>1067</v>
      </c>
      <c r="E22" s="139" t="s">
        <v>1068</v>
      </c>
      <c r="F22" s="139" t="s">
        <v>1069</v>
      </c>
      <c r="G22" s="139" t="s">
        <v>1070</v>
      </c>
      <c r="H22" s="139" t="s">
        <v>1071</v>
      </c>
      <c r="I22" s="139" t="s">
        <v>1072</v>
      </c>
      <c r="J22" s="139" t="s">
        <v>1073</v>
      </c>
      <c r="K22" s="139" t="s">
        <v>1074</v>
      </c>
      <c r="L22" s="112">
        <f>_xlfn.XLOOKUP(B22,Summary!B:B,Summary!G:G)</f>
        <v>1</v>
      </c>
      <c r="N22" s="177"/>
      <c r="O22" s="112" t="str">
        <f t="shared" si="0"/>
        <v>-255</v>
      </c>
      <c r="P22" s="112" t="s">
        <v>952</v>
      </c>
      <c r="Q22" s="112" t="s">
        <v>953</v>
      </c>
    </row>
    <row r="23" spans="1:30" s="112" customFormat="1" ht="12.75" customHeight="1">
      <c r="A23" s="138" t="str">
        <f>_xlfn.XLOOKUP(B23,Summary!B:B,Summary!C:C,"")</f>
        <v>Whatsminer M56S++</v>
      </c>
      <c r="B23" s="139" t="s">
        <v>122</v>
      </c>
      <c r="C23" s="166" t="s">
        <v>1075</v>
      </c>
      <c r="D23" s="139" t="s">
        <v>1076</v>
      </c>
      <c r="E23" s="139" t="s">
        <v>1077</v>
      </c>
      <c r="F23" s="139" t="s">
        <v>1078</v>
      </c>
      <c r="G23" s="139" t="s">
        <v>1079</v>
      </c>
      <c r="H23" s="139" t="s">
        <v>1080</v>
      </c>
      <c r="I23" s="139" t="s">
        <v>1081</v>
      </c>
      <c r="J23" s="139" t="s">
        <v>1082</v>
      </c>
      <c r="K23" s="139" t="s">
        <v>1083</v>
      </c>
      <c r="L23" s="112">
        <f>_xlfn.XLOOKUP(B23,Summary!B:B,Summary!G:G)</f>
        <v>1</v>
      </c>
      <c r="N23" s="177"/>
      <c r="O23" s="112" t="str">
        <f t="shared" si="0"/>
        <v>-255</v>
      </c>
      <c r="P23" s="112" t="s">
        <v>952</v>
      </c>
      <c r="Q23" s="112" t="s">
        <v>953</v>
      </c>
    </row>
    <row r="24" spans="1:30" s="112" customFormat="1" ht="12.75" customHeight="1">
      <c r="A24" s="138" t="str">
        <f>_xlfn.XLOOKUP(B24,Summary!B:B,Summary!C:C,"")</f>
        <v>Whatsminer M56S++</v>
      </c>
      <c r="B24" s="139" t="s">
        <v>123</v>
      </c>
      <c r="C24" s="166" t="s">
        <v>1084</v>
      </c>
      <c r="D24" s="139" t="s">
        <v>1085</v>
      </c>
      <c r="E24" s="139" t="s">
        <v>1086</v>
      </c>
      <c r="F24" s="139" t="s">
        <v>1087</v>
      </c>
      <c r="G24" s="139" t="s">
        <v>1088</v>
      </c>
      <c r="H24" s="139" t="s">
        <v>1089</v>
      </c>
      <c r="I24" s="139" t="s">
        <v>1090</v>
      </c>
      <c r="J24" s="139" t="s">
        <v>1091</v>
      </c>
      <c r="K24" s="139" t="s">
        <v>1092</v>
      </c>
      <c r="L24" s="112">
        <f>_xlfn.XLOOKUP(B24,Summary!B:B,Summary!G:G)</f>
        <v>1</v>
      </c>
      <c r="N24" s="177"/>
      <c r="O24" s="112" t="str">
        <f t="shared" si="0"/>
        <v>-255</v>
      </c>
      <c r="P24" s="112" t="s">
        <v>952</v>
      </c>
      <c r="Q24" s="112" t="s">
        <v>953</v>
      </c>
    </row>
    <row r="25" spans="1:30" s="112" customFormat="1" ht="12.75" customHeight="1">
      <c r="A25" s="138" t="str">
        <f>_xlfn.XLOOKUP(B25,Summary!B:B,Summary!C:C,"")</f>
        <v>Whatsminer M56S++</v>
      </c>
      <c r="B25" s="139" t="s">
        <v>125</v>
      </c>
      <c r="C25" s="166" t="s">
        <v>1093</v>
      </c>
      <c r="D25" s="139" t="s">
        <v>1094</v>
      </c>
      <c r="E25" s="139" t="s">
        <v>1095</v>
      </c>
      <c r="F25" s="139" t="s">
        <v>1096</v>
      </c>
      <c r="G25" s="139" t="s">
        <v>1097</v>
      </c>
      <c r="H25" s="139" t="s">
        <v>1098</v>
      </c>
      <c r="I25" s="139" t="s">
        <v>1099</v>
      </c>
      <c r="J25" s="139" t="s">
        <v>1100</v>
      </c>
      <c r="K25" s="139" t="s">
        <v>1101</v>
      </c>
      <c r="L25" s="112">
        <f>_xlfn.XLOOKUP(B25,Summary!B:B,Summary!G:G)</f>
        <v>1</v>
      </c>
      <c r="O25" s="112" t="str">
        <f t="shared" ref="O25:O46" si="1">N25&amp;"-255"</f>
        <v>-255</v>
      </c>
      <c r="P25" s="112" t="s">
        <v>952</v>
      </c>
      <c r="Q25" s="112" t="s">
        <v>953</v>
      </c>
    </row>
    <row r="26" spans="1:30" s="112" customFormat="1" ht="12.75" customHeight="1">
      <c r="A26" s="138" t="str">
        <f>_xlfn.XLOOKUP(B26,Summary!B:B,Summary!C:C,"")</f>
        <v>Whatsminer M56S++</v>
      </c>
      <c r="B26" s="139" t="s">
        <v>126</v>
      </c>
      <c r="C26" s="166" t="s">
        <v>1102</v>
      </c>
      <c r="D26" s="139" t="s">
        <v>1103</v>
      </c>
      <c r="E26" s="139" t="s">
        <v>1104</v>
      </c>
      <c r="F26" s="139" t="s">
        <v>1105</v>
      </c>
      <c r="G26" s="139" t="s">
        <v>1106</v>
      </c>
      <c r="H26" s="139" t="s">
        <v>1107</v>
      </c>
      <c r="I26" s="139" t="s">
        <v>1108</v>
      </c>
      <c r="J26" s="139" t="s">
        <v>1109</v>
      </c>
      <c r="K26" s="139" t="s">
        <v>1110</v>
      </c>
      <c r="L26" s="112">
        <f>_xlfn.XLOOKUP(B26,Summary!B:B,Summary!G:G)</f>
        <v>1</v>
      </c>
      <c r="N26" s="177"/>
      <c r="O26" s="112" t="str">
        <f t="shared" si="1"/>
        <v>-255</v>
      </c>
      <c r="P26" s="112" t="s">
        <v>952</v>
      </c>
      <c r="Q26" s="112" t="s">
        <v>953</v>
      </c>
    </row>
    <row r="27" spans="1:30" s="112" customFormat="1" ht="12.75" customHeight="1">
      <c r="A27" s="138" t="str">
        <f>_xlfn.XLOOKUP(B27,Summary!B:B,Summary!C:C,"")</f>
        <v>Whatsminer M56S++</v>
      </c>
      <c r="B27" s="139" t="s">
        <v>128</v>
      </c>
      <c r="C27" s="166" t="s">
        <v>1111</v>
      </c>
      <c r="D27" s="139" t="s">
        <v>1112</v>
      </c>
      <c r="E27" s="139" t="s">
        <v>1113</v>
      </c>
      <c r="F27" s="139" t="s">
        <v>1114</v>
      </c>
      <c r="G27" s="139" t="s">
        <v>1115</v>
      </c>
      <c r="H27" s="139" t="s">
        <v>1116</v>
      </c>
      <c r="I27" s="139" t="s">
        <v>1117</v>
      </c>
      <c r="J27" s="139" t="s">
        <v>1118</v>
      </c>
      <c r="K27" s="139" t="s">
        <v>1119</v>
      </c>
      <c r="L27" s="112">
        <f>_xlfn.XLOOKUP(B27,Summary!B:B,Summary!G:G)</f>
        <v>1</v>
      </c>
      <c r="N27" s="177"/>
      <c r="O27" s="112" t="str">
        <f t="shared" si="1"/>
        <v>-255</v>
      </c>
      <c r="P27" s="112" t="s">
        <v>952</v>
      </c>
      <c r="Q27" s="112" t="s">
        <v>953</v>
      </c>
    </row>
    <row r="28" spans="1:30" s="112" customFormat="1" ht="12.75" customHeight="1">
      <c r="A28" s="121" t="str">
        <f>_xlfn.XLOOKUP(B28,Summary!B:B,Summary!C:C,"")</f>
        <v>Whatsminer M56S++</v>
      </c>
      <c r="B28" s="120" t="s">
        <v>129</v>
      </c>
      <c r="C28" s="167" t="s">
        <v>1120</v>
      </c>
      <c r="D28" s="120" t="s">
        <v>1121</v>
      </c>
      <c r="E28" s="120" t="s">
        <v>1122</v>
      </c>
      <c r="F28" s="120" t="s">
        <v>1123</v>
      </c>
      <c r="G28" s="120" t="s">
        <v>1124</v>
      </c>
      <c r="H28" s="120" t="s">
        <v>1125</v>
      </c>
      <c r="I28" s="120" t="s">
        <v>1126</v>
      </c>
      <c r="J28" s="120" t="s">
        <v>1127</v>
      </c>
      <c r="K28" s="120" t="s">
        <v>1128</v>
      </c>
      <c r="L28" s="112" t="str">
        <f>_xlfn.XLOOKUP(B28,Summary!B:B,Summary!G:G)</f>
        <v>1+</v>
      </c>
      <c r="N28" s="177"/>
      <c r="O28" s="112" t="str">
        <f t="shared" si="1"/>
        <v>-255</v>
      </c>
      <c r="P28" s="112" t="s">
        <v>952</v>
      </c>
      <c r="Q28" s="112" t="s">
        <v>953</v>
      </c>
    </row>
    <row r="29" spans="1:30" s="112" customFormat="1" ht="12.75" customHeight="1">
      <c r="A29" s="121" t="str">
        <f>_xlfn.XLOOKUP(B29,Summary!B:B,Summary!C:C,"")</f>
        <v>Whatsminer M56S++</v>
      </c>
      <c r="B29" s="120" t="s">
        <v>132</v>
      </c>
      <c r="C29" s="167" t="s">
        <v>1129</v>
      </c>
      <c r="D29" s="120" t="s">
        <v>1130</v>
      </c>
      <c r="E29" s="120" t="s">
        <v>1131</v>
      </c>
      <c r="F29" s="120" t="s">
        <v>1132</v>
      </c>
      <c r="G29" s="120" t="s">
        <v>1133</v>
      </c>
      <c r="H29" s="120" t="s">
        <v>1134</v>
      </c>
      <c r="I29" s="120" t="s">
        <v>1135</v>
      </c>
      <c r="J29" s="120" t="s">
        <v>1136</v>
      </c>
      <c r="K29" s="120" t="s">
        <v>1137</v>
      </c>
      <c r="L29" s="112" t="str">
        <f>_xlfn.XLOOKUP(B29,Summary!B:B,Summary!G:G)</f>
        <v>1+</v>
      </c>
      <c r="O29" s="112" t="str">
        <f t="shared" si="1"/>
        <v>-255</v>
      </c>
      <c r="P29" s="112" t="s">
        <v>952</v>
      </c>
      <c r="Q29" s="112" t="s">
        <v>953</v>
      </c>
    </row>
    <row r="30" spans="1:30" s="112" customFormat="1" ht="12.75" customHeight="1">
      <c r="A30" s="121" t="str">
        <f>_xlfn.XLOOKUP(B30,Summary!B:B,Summary!C:C,"")</f>
        <v>Whatsminer M56S++</v>
      </c>
      <c r="B30" s="120" t="s">
        <v>133</v>
      </c>
      <c r="C30" s="167" t="s">
        <v>1138</v>
      </c>
      <c r="D30" s="120" t="s">
        <v>1139</v>
      </c>
      <c r="E30" s="120" t="s">
        <v>1140</v>
      </c>
      <c r="F30" s="120" t="s">
        <v>1141</v>
      </c>
      <c r="G30" s="120" t="s">
        <v>1142</v>
      </c>
      <c r="H30" s="120" t="s">
        <v>1143</v>
      </c>
      <c r="I30" s="120" t="s">
        <v>1144</v>
      </c>
      <c r="J30" s="120" t="s">
        <v>1145</v>
      </c>
      <c r="K30" s="120" t="s">
        <v>1146</v>
      </c>
      <c r="L30" s="112" t="str">
        <f>_xlfn.XLOOKUP(B30,Summary!B:B,Summary!G:G)</f>
        <v>1+</v>
      </c>
      <c r="N30" s="201"/>
      <c r="O30" s="112" t="str">
        <f t="shared" si="1"/>
        <v>-255</v>
      </c>
      <c r="P30" s="112" t="s">
        <v>952</v>
      </c>
      <c r="Q30" s="112" t="s">
        <v>953</v>
      </c>
    </row>
    <row r="31" spans="1:30" s="112" customFormat="1" ht="12.75" customHeight="1">
      <c r="A31" s="121" t="str">
        <f>_xlfn.XLOOKUP(B31,Summary!B:B,Summary!C:C,"")</f>
        <v>Whatsminer M56S++</v>
      </c>
      <c r="B31" s="120" t="s">
        <v>136</v>
      </c>
      <c r="C31" s="167" t="s">
        <v>1147</v>
      </c>
      <c r="D31" s="120" t="s">
        <v>1148</v>
      </c>
      <c r="E31" s="120" t="s">
        <v>1149</v>
      </c>
      <c r="F31" s="120" t="s">
        <v>1150</v>
      </c>
      <c r="G31" s="120" t="s">
        <v>1151</v>
      </c>
      <c r="H31" s="120" t="s">
        <v>1152</v>
      </c>
      <c r="I31" s="120" t="s">
        <v>1153</v>
      </c>
      <c r="J31" s="120" t="s">
        <v>1154</v>
      </c>
      <c r="K31" s="120" t="s">
        <v>1155</v>
      </c>
      <c r="L31" s="112" t="str">
        <f>_xlfn.XLOOKUP(B31,Summary!B:B,Summary!G:G)</f>
        <v>1+</v>
      </c>
      <c r="N31" s="201"/>
      <c r="O31" s="112" t="str">
        <f t="shared" si="1"/>
        <v>-255</v>
      </c>
      <c r="P31" s="112" t="s">
        <v>952</v>
      </c>
      <c r="Q31" s="112" t="s">
        <v>953</v>
      </c>
    </row>
    <row r="32" spans="1:30" s="112" customFormat="1" ht="12.75" customHeight="1">
      <c r="A32" s="136" t="str">
        <f>_xlfn.XLOOKUP(B32,Summary!B:B,Summary!C:C,"")</f>
        <v>Antminer S21</v>
      </c>
      <c r="B32" s="137" t="s">
        <v>137</v>
      </c>
      <c r="C32" s="165" t="s">
        <v>1156</v>
      </c>
      <c r="D32" s="137" t="s">
        <v>1157</v>
      </c>
      <c r="E32" s="137" t="s">
        <v>1158</v>
      </c>
      <c r="F32" s="137" t="s">
        <v>1159</v>
      </c>
      <c r="G32" s="137" t="s">
        <v>1160</v>
      </c>
      <c r="H32" s="137" t="s">
        <v>1161</v>
      </c>
      <c r="I32" s="137" t="s">
        <v>1162</v>
      </c>
      <c r="J32" s="137" t="s">
        <v>1163</v>
      </c>
      <c r="K32" s="137" t="s">
        <v>1164</v>
      </c>
      <c r="L32" s="112">
        <f>_xlfn.XLOOKUP(B32,Summary!B:B,Summary!G:G)</f>
        <v>0</v>
      </c>
      <c r="N32" s="201"/>
      <c r="O32" s="112" t="str">
        <f t="shared" si="1"/>
        <v>-255</v>
      </c>
      <c r="P32" s="112" t="s">
        <v>1165</v>
      </c>
      <c r="Q32" s="112" t="s">
        <v>1065</v>
      </c>
    </row>
    <row r="33" spans="1:23" s="112" customFormat="1" ht="12.75" customHeight="1">
      <c r="A33" s="136" t="str">
        <f>_xlfn.XLOOKUP(B33,Summary!B:B,Summary!C:C,"")</f>
        <v>Antminer S21</v>
      </c>
      <c r="B33" s="137" t="s">
        <v>140</v>
      </c>
      <c r="C33" s="165" t="s">
        <v>1166</v>
      </c>
      <c r="D33" s="137" t="s">
        <v>1167</v>
      </c>
      <c r="E33" s="137" t="s">
        <v>1168</v>
      </c>
      <c r="F33" s="137" t="s">
        <v>1169</v>
      </c>
      <c r="G33" s="137" t="s">
        <v>1170</v>
      </c>
      <c r="H33" s="137" t="s">
        <v>1171</v>
      </c>
      <c r="I33" s="137" t="s">
        <v>1172</v>
      </c>
      <c r="J33" s="137" t="s">
        <v>1173</v>
      </c>
      <c r="K33" s="137" t="s">
        <v>1174</v>
      </c>
      <c r="L33" s="112">
        <f>_xlfn.XLOOKUP(B33,Summary!B:B,Summary!G:G)</f>
        <v>0</v>
      </c>
      <c r="N33" s="201"/>
      <c r="O33" s="112" t="str">
        <f t="shared" si="1"/>
        <v>-255</v>
      </c>
      <c r="P33" s="112" t="s">
        <v>1165</v>
      </c>
      <c r="Q33" s="112" t="s">
        <v>1065</v>
      </c>
    </row>
    <row r="34" spans="1:23" s="112" customFormat="1" ht="12.75" customHeight="1">
      <c r="A34" s="136" t="str">
        <f>_xlfn.XLOOKUP(B34,Summary!B:B,Summary!C:C,"")</f>
        <v>Antminer S21</v>
      </c>
      <c r="B34" s="137" t="s">
        <v>141</v>
      </c>
      <c r="C34" s="165" t="s">
        <v>1175</v>
      </c>
      <c r="D34" s="137" t="s">
        <v>1176</v>
      </c>
      <c r="E34" s="137" t="s">
        <v>1177</v>
      </c>
      <c r="F34" s="137" t="s">
        <v>1178</v>
      </c>
      <c r="G34" s="137" t="s">
        <v>1179</v>
      </c>
      <c r="H34" s="137" t="s">
        <v>1180</v>
      </c>
      <c r="I34" s="137" t="s">
        <v>1181</v>
      </c>
      <c r="J34" s="137" t="s">
        <v>1182</v>
      </c>
      <c r="K34" s="137" t="s">
        <v>1183</v>
      </c>
      <c r="L34" s="112">
        <f>_xlfn.XLOOKUP(B34,Summary!B:B,Summary!G:G)</f>
        <v>0</v>
      </c>
      <c r="N34" s="201"/>
      <c r="O34" s="112" t="str">
        <f t="shared" si="1"/>
        <v>-255</v>
      </c>
      <c r="P34" s="112" t="s">
        <v>1165</v>
      </c>
      <c r="Q34" s="112" t="s">
        <v>1065</v>
      </c>
    </row>
    <row r="35" spans="1:23" s="112" customFormat="1" ht="12.75" customHeight="1">
      <c r="A35" s="136" t="str">
        <f>_xlfn.XLOOKUP(B35,Summary!B:B,Summary!C:C,"")</f>
        <v>Antminer S21</v>
      </c>
      <c r="B35" s="137" t="s">
        <v>144</v>
      </c>
      <c r="C35" s="165" t="s">
        <v>1184</v>
      </c>
      <c r="D35" s="137" t="s">
        <v>1185</v>
      </c>
      <c r="E35" s="137" t="s">
        <v>1186</v>
      </c>
      <c r="F35" s="137" t="s">
        <v>1187</v>
      </c>
      <c r="G35" s="137" t="s">
        <v>1188</v>
      </c>
      <c r="H35" s="137" t="s">
        <v>1189</v>
      </c>
      <c r="I35" s="137" t="s">
        <v>1190</v>
      </c>
      <c r="J35" s="137" t="s">
        <v>1191</v>
      </c>
      <c r="K35" s="137" t="s">
        <v>1192</v>
      </c>
      <c r="L35" s="112">
        <f>_xlfn.XLOOKUP(B35,Summary!B:B,Summary!G:G)</f>
        <v>0</v>
      </c>
      <c r="O35" s="112" t="str">
        <f t="shared" si="1"/>
        <v>-255</v>
      </c>
      <c r="P35" s="112" t="s">
        <v>1165</v>
      </c>
      <c r="Q35" s="112" t="s">
        <v>1065</v>
      </c>
    </row>
    <row r="36" spans="1:23" ht="12.75" customHeight="1">
      <c r="A36" s="138" t="str">
        <f>_xlfn.XLOOKUP(B36,Summary!B:B,Summary!C:C,"")</f>
        <v>Whatsminer M56S++</v>
      </c>
      <c r="B36" s="139" t="s">
        <v>145</v>
      </c>
      <c r="C36" s="166" t="s">
        <v>1193</v>
      </c>
      <c r="D36" s="139" t="s">
        <v>1194</v>
      </c>
      <c r="E36" s="139" t="s">
        <v>1195</v>
      </c>
      <c r="F36" s="139" t="s">
        <v>1196</v>
      </c>
      <c r="G36" s="139" t="s">
        <v>1197</v>
      </c>
      <c r="H36" s="139" t="s">
        <v>1198</v>
      </c>
      <c r="I36" s="139" t="s">
        <v>1199</v>
      </c>
      <c r="J36" s="139" t="s">
        <v>1200</v>
      </c>
      <c r="K36" s="139" t="s">
        <v>1201</v>
      </c>
      <c r="L36" s="112">
        <f>_xlfn.XLOOKUP(B36,Summary!B:B,Summary!G:G)</f>
        <v>1</v>
      </c>
      <c r="M36" s="112"/>
      <c r="N36" s="112"/>
      <c r="O36" s="112" t="str">
        <f t="shared" si="1"/>
        <v>-255</v>
      </c>
      <c r="P36" s="112" t="s">
        <v>952</v>
      </c>
      <c r="Q36" s="112" t="s">
        <v>953</v>
      </c>
      <c r="R36" s="112"/>
      <c r="S36" s="112"/>
      <c r="T36" s="112"/>
      <c r="U36" s="112"/>
      <c r="V36" s="112"/>
      <c r="W36" s="112"/>
    </row>
    <row r="37" spans="1:23" ht="12.75" customHeight="1">
      <c r="A37" s="138" t="str">
        <f>_xlfn.XLOOKUP(B37,Summary!B:B,Summary!C:C,"")</f>
        <v>Whatsminer M56S++</v>
      </c>
      <c r="B37" s="139" t="s">
        <v>147</v>
      </c>
      <c r="C37" s="166" t="s">
        <v>1202</v>
      </c>
      <c r="D37" s="139" t="s">
        <v>1203</v>
      </c>
      <c r="E37" s="139" t="s">
        <v>1204</v>
      </c>
      <c r="F37" s="139" t="s">
        <v>1205</v>
      </c>
      <c r="G37" s="139" t="s">
        <v>1206</v>
      </c>
      <c r="H37" s="139" t="s">
        <v>1207</v>
      </c>
      <c r="I37" s="139" t="s">
        <v>1208</v>
      </c>
      <c r="J37" s="139" t="s">
        <v>1209</v>
      </c>
      <c r="K37" s="139" t="s">
        <v>1210</v>
      </c>
      <c r="L37" s="112">
        <f>_xlfn.XLOOKUP(B37,Summary!B:B,Summary!G:G)</f>
        <v>1</v>
      </c>
      <c r="M37" s="112"/>
      <c r="N37" s="112"/>
      <c r="O37" s="112" t="str">
        <f t="shared" si="1"/>
        <v>-255</v>
      </c>
      <c r="P37" s="112" t="s">
        <v>952</v>
      </c>
      <c r="Q37" s="112" t="s">
        <v>953</v>
      </c>
      <c r="R37" s="112"/>
      <c r="S37" s="112"/>
      <c r="T37" s="112"/>
      <c r="U37" s="112"/>
      <c r="V37" s="112"/>
      <c r="W37" s="112"/>
    </row>
    <row r="38" spans="1:23" ht="12.75" customHeight="1">
      <c r="A38" s="138" t="str">
        <f>_xlfn.XLOOKUP(B38,Summary!B:B,Summary!C:C,"")</f>
        <v>Whatsminer M56S++</v>
      </c>
      <c r="B38" s="139" t="s">
        <v>148</v>
      </c>
      <c r="C38" s="166" t="s">
        <v>1211</v>
      </c>
      <c r="D38" s="139" t="s">
        <v>1212</v>
      </c>
      <c r="E38" s="139" t="s">
        <v>1213</v>
      </c>
      <c r="F38" s="139" t="s">
        <v>1214</v>
      </c>
      <c r="G38" s="139" t="s">
        <v>1215</v>
      </c>
      <c r="H38" s="139" t="s">
        <v>1216</v>
      </c>
      <c r="I38" s="139" t="s">
        <v>1217</v>
      </c>
      <c r="J38" s="139" t="s">
        <v>1218</v>
      </c>
      <c r="K38" s="139" t="s">
        <v>1219</v>
      </c>
      <c r="L38" s="112">
        <f>_xlfn.XLOOKUP(B38,Summary!B:B,Summary!G:G)</f>
        <v>1</v>
      </c>
      <c r="M38" s="112"/>
      <c r="N38" s="112"/>
      <c r="O38" s="112" t="str">
        <f t="shared" si="1"/>
        <v>-255</v>
      </c>
      <c r="P38" s="112" t="s">
        <v>952</v>
      </c>
      <c r="Q38" s="112" t="s">
        <v>953</v>
      </c>
      <c r="R38" s="112"/>
      <c r="S38" s="112"/>
      <c r="T38" s="112"/>
      <c r="U38" s="112"/>
      <c r="V38" s="112"/>
      <c r="W38" s="112"/>
    </row>
    <row r="39" spans="1:23" ht="12.75" customHeight="1">
      <c r="A39" s="138" t="str">
        <f>_xlfn.XLOOKUP(B39,Summary!B:B,Summary!C:C,"")</f>
        <v>Whatsminer M56S++</v>
      </c>
      <c r="B39" s="139" t="s">
        <v>150</v>
      </c>
      <c r="C39" s="166" t="s">
        <v>1220</v>
      </c>
      <c r="D39" s="139" t="s">
        <v>1221</v>
      </c>
      <c r="E39" s="139" t="s">
        <v>1222</v>
      </c>
      <c r="F39" s="139" t="s">
        <v>1223</v>
      </c>
      <c r="G39" s="139" t="s">
        <v>1224</v>
      </c>
      <c r="H39" s="139" t="s">
        <v>1225</v>
      </c>
      <c r="I39" s="139" t="s">
        <v>1226</v>
      </c>
      <c r="J39" s="139" t="s">
        <v>1227</v>
      </c>
      <c r="K39" s="139" t="s">
        <v>1228</v>
      </c>
      <c r="L39" s="112">
        <f>_xlfn.XLOOKUP(B39,Summary!B:B,Summary!G:G)</f>
        <v>1</v>
      </c>
      <c r="M39" s="112"/>
      <c r="N39" s="112"/>
      <c r="O39" s="112" t="str">
        <f t="shared" si="1"/>
        <v>-255</v>
      </c>
      <c r="P39" s="112" t="s">
        <v>952</v>
      </c>
      <c r="Q39" s="112" t="s">
        <v>953</v>
      </c>
      <c r="R39" s="112"/>
      <c r="S39" s="112"/>
      <c r="T39" s="112"/>
      <c r="U39" s="112"/>
      <c r="V39" s="112"/>
      <c r="W39" s="112"/>
    </row>
    <row r="40" spans="1:23" ht="12.75" customHeight="1">
      <c r="A40" s="138" t="str">
        <f>_xlfn.XLOOKUP(B40,Summary!B:B,Summary!C:C,"")</f>
        <v>Whatsminer M56S++</v>
      </c>
      <c r="B40" s="139" t="s">
        <v>151</v>
      </c>
      <c r="C40" s="166" t="s">
        <v>1229</v>
      </c>
      <c r="D40" s="139" t="s">
        <v>1230</v>
      </c>
      <c r="E40" s="139" t="s">
        <v>1231</v>
      </c>
      <c r="F40" s="139" t="s">
        <v>1232</v>
      </c>
      <c r="G40" s="139" t="s">
        <v>1233</v>
      </c>
      <c r="H40" s="139" t="s">
        <v>1234</v>
      </c>
      <c r="I40" s="139" t="s">
        <v>1235</v>
      </c>
      <c r="J40" s="139" t="s">
        <v>1236</v>
      </c>
      <c r="K40" s="139" t="s">
        <v>1237</v>
      </c>
      <c r="L40" s="112">
        <f>_xlfn.XLOOKUP(B40,Summary!B:B,Summary!G:G)</f>
        <v>1</v>
      </c>
      <c r="M40" s="112"/>
      <c r="N40" s="112"/>
      <c r="O40" s="112" t="str">
        <f t="shared" si="1"/>
        <v>-255</v>
      </c>
      <c r="P40" s="112" t="s">
        <v>952</v>
      </c>
      <c r="Q40" s="112" t="s">
        <v>953</v>
      </c>
      <c r="R40" s="112"/>
      <c r="S40" s="112"/>
      <c r="T40" s="112"/>
      <c r="U40" s="112"/>
      <c r="V40" s="112"/>
      <c r="W40" s="112"/>
    </row>
    <row r="41" spans="1:23" ht="12.75" customHeight="1">
      <c r="A41" s="138" t="str">
        <f>_xlfn.XLOOKUP(B41,Summary!B:B,Summary!C:C,"")</f>
        <v>Whatsminer M56S++</v>
      </c>
      <c r="B41" s="139" t="s">
        <v>153</v>
      </c>
      <c r="C41" s="166" t="s">
        <v>1238</v>
      </c>
      <c r="D41" s="139" t="s">
        <v>1239</v>
      </c>
      <c r="E41" s="139" t="s">
        <v>1240</v>
      </c>
      <c r="F41" s="139" t="s">
        <v>1241</v>
      </c>
      <c r="G41" s="139" t="s">
        <v>1242</v>
      </c>
      <c r="H41" s="139" t="s">
        <v>1243</v>
      </c>
      <c r="I41" s="139" t="s">
        <v>1244</v>
      </c>
      <c r="J41" s="139" t="s">
        <v>1245</v>
      </c>
      <c r="K41" s="139" t="s">
        <v>1246</v>
      </c>
      <c r="L41" s="112">
        <f>_xlfn.XLOOKUP(B41,Summary!B:B,Summary!G:G)</f>
        <v>1</v>
      </c>
      <c r="M41" s="112"/>
      <c r="N41" s="112"/>
      <c r="O41" s="112" t="str">
        <f t="shared" si="1"/>
        <v>-255</v>
      </c>
      <c r="P41" s="112" t="s">
        <v>952</v>
      </c>
      <c r="Q41" s="112" t="s">
        <v>953</v>
      </c>
      <c r="R41" s="112"/>
      <c r="S41" s="112"/>
      <c r="T41" s="112"/>
      <c r="U41" s="112"/>
      <c r="V41" s="112"/>
      <c r="W41" s="112"/>
    </row>
    <row r="42" spans="1:23" ht="12.75" customHeight="1">
      <c r="A42" s="121" t="str">
        <f>_xlfn.XLOOKUP(B42,Summary!B:B,Summary!C:C,"")</f>
        <v>Whatsminer M56S++</v>
      </c>
      <c r="B42" s="120" t="s">
        <v>154</v>
      </c>
      <c r="C42" s="167" t="s">
        <v>1247</v>
      </c>
      <c r="D42" s="120" t="s">
        <v>1248</v>
      </c>
      <c r="E42" s="120" t="s">
        <v>1249</v>
      </c>
      <c r="F42" s="120" t="s">
        <v>1250</v>
      </c>
      <c r="G42" s="120" t="s">
        <v>1251</v>
      </c>
      <c r="H42" s="120" t="s">
        <v>1252</v>
      </c>
      <c r="I42" s="120" t="s">
        <v>1253</v>
      </c>
      <c r="J42" s="120" t="s">
        <v>1254</v>
      </c>
      <c r="K42" s="120" t="s">
        <v>1255</v>
      </c>
      <c r="L42" s="112" t="str">
        <f>_xlfn.XLOOKUP(B42,Summary!B:B,Summary!G:G)</f>
        <v>1+</v>
      </c>
      <c r="M42" s="112"/>
      <c r="N42" s="112"/>
      <c r="O42" s="112" t="str">
        <f t="shared" si="1"/>
        <v>-255</v>
      </c>
      <c r="P42" s="112" t="s">
        <v>952</v>
      </c>
      <c r="Q42" s="112" t="s">
        <v>953</v>
      </c>
      <c r="R42" s="112"/>
      <c r="S42" s="112"/>
      <c r="T42" s="112"/>
      <c r="U42" s="112"/>
      <c r="V42" s="112"/>
      <c r="W42" s="112"/>
    </row>
    <row r="43" spans="1:23" ht="12.75" customHeight="1">
      <c r="A43" s="121" t="str">
        <f>_xlfn.XLOOKUP(B43,Summary!B:B,Summary!C:C,"")</f>
        <v>Whatsminer M56S++</v>
      </c>
      <c r="B43" s="120" t="s">
        <v>157</v>
      </c>
      <c r="C43" s="167" t="s">
        <v>1256</v>
      </c>
      <c r="D43" s="120" t="s">
        <v>1257</v>
      </c>
      <c r="E43" s="120" t="s">
        <v>1258</v>
      </c>
      <c r="F43" s="120" t="s">
        <v>1259</v>
      </c>
      <c r="G43" s="120" t="s">
        <v>1260</v>
      </c>
      <c r="H43" s="120" t="s">
        <v>1261</v>
      </c>
      <c r="I43" s="120" t="s">
        <v>1262</v>
      </c>
      <c r="J43" s="120" t="s">
        <v>1263</v>
      </c>
      <c r="K43" s="120" t="s">
        <v>1264</v>
      </c>
      <c r="L43" s="112" t="str">
        <f>_xlfn.XLOOKUP(B43,Summary!B:B,Summary!G:G)</f>
        <v>1+</v>
      </c>
      <c r="M43" s="112"/>
      <c r="N43" s="112"/>
      <c r="O43" s="112" t="str">
        <f t="shared" si="1"/>
        <v>-255</v>
      </c>
      <c r="P43" s="112" t="s">
        <v>952</v>
      </c>
      <c r="Q43" s="112" t="s">
        <v>953</v>
      </c>
      <c r="R43" s="112"/>
      <c r="S43" s="112"/>
      <c r="T43" s="112"/>
      <c r="U43" s="112"/>
      <c r="V43" s="112"/>
      <c r="W43" s="112"/>
    </row>
    <row r="44" spans="1:23" ht="12.75" customHeight="1">
      <c r="A44" s="121" t="str">
        <f>_xlfn.XLOOKUP(B44,Summary!B:B,Summary!C:C,"")</f>
        <v>Antminer S21</v>
      </c>
      <c r="B44" s="120" t="s">
        <v>158</v>
      </c>
      <c r="C44" s="167" t="s">
        <v>1265</v>
      </c>
      <c r="D44" s="120" t="s">
        <v>1266</v>
      </c>
      <c r="E44" s="120" t="s">
        <v>1267</v>
      </c>
      <c r="F44" s="120" t="s">
        <v>1268</v>
      </c>
      <c r="G44" s="120" t="s">
        <v>1269</v>
      </c>
      <c r="H44" s="120" t="s">
        <v>1270</v>
      </c>
      <c r="I44" s="120" t="s">
        <v>1271</v>
      </c>
      <c r="J44" s="120" t="s">
        <v>1272</v>
      </c>
      <c r="K44" s="120" t="s">
        <v>1273</v>
      </c>
      <c r="L44" s="112" t="str">
        <f>_xlfn.XLOOKUP(B44,Summary!B:B,Summary!G:G)</f>
        <v>1+</v>
      </c>
      <c r="M44" s="112"/>
      <c r="N44" s="112"/>
      <c r="O44" s="112" t="str">
        <f t="shared" si="1"/>
        <v>-255</v>
      </c>
      <c r="P44" s="112" t="s">
        <v>952</v>
      </c>
      <c r="Q44" s="112" t="s">
        <v>1065</v>
      </c>
      <c r="R44" s="112"/>
      <c r="S44" s="112"/>
      <c r="T44" s="112"/>
      <c r="U44" s="112"/>
      <c r="V44" s="112"/>
      <c r="W44" s="112"/>
    </row>
    <row r="45" spans="1:23" ht="12.75" customHeight="1">
      <c r="A45" s="121" t="str">
        <f>_xlfn.XLOOKUP(B45,Summary!B:B,Summary!C:C,"")</f>
        <v>Antminer S21</v>
      </c>
      <c r="B45" s="120" t="s">
        <v>160</v>
      </c>
      <c r="C45" s="167" t="s">
        <v>1274</v>
      </c>
      <c r="D45" s="120" t="s">
        <v>1275</v>
      </c>
      <c r="E45" s="120" t="s">
        <v>1276</v>
      </c>
      <c r="F45" s="120" t="s">
        <v>1277</v>
      </c>
      <c r="G45" s="120" t="s">
        <v>1278</v>
      </c>
      <c r="H45" s="120" t="s">
        <v>1279</v>
      </c>
      <c r="I45" s="120" t="s">
        <v>1280</v>
      </c>
      <c r="J45" s="120" t="s">
        <v>1281</v>
      </c>
      <c r="K45" s="120" t="s">
        <v>1282</v>
      </c>
      <c r="L45" s="112" t="str">
        <f>_xlfn.XLOOKUP(B45,Summary!B:B,Summary!G:G)</f>
        <v>1+</v>
      </c>
      <c r="M45" s="112"/>
      <c r="N45" s="112"/>
      <c r="O45" s="112" t="str">
        <f t="shared" si="1"/>
        <v>-255</v>
      </c>
      <c r="P45" s="112" t="s">
        <v>952</v>
      </c>
      <c r="Q45" s="112" t="s">
        <v>1065</v>
      </c>
      <c r="R45" s="112"/>
      <c r="S45" s="112"/>
      <c r="T45" s="112"/>
      <c r="U45" s="112"/>
      <c r="V45" s="112"/>
      <c r="W45" s="112"/>
    </row>
    <row r="46" spans="1:23" ht="12.75" customHeight="1">
      <c r="A46" s="136" t="str">
        <f>_xlfn.XLOOKUP(B46,Summary!B:B,Summary!C:C,"")</f>
        <v>Antminer S21</v>
      </c>
      <c r="B46" s="137" t="s">
        <v>161</v>
      </c>
      <c r="C46" s="165" t="s">
        <v>1283</v>
      </c>
      <c r="D46" s="137" t="s">
        <v>1284</v>
      </c>
      <c r="E46" s="137" t="s">
        <v>1285</v>
      </c>
      <c r="F46" s="137" t="s">
        <v>1286</v>
      </c>
      <c r="G46" s="137" t="s">
        <v>1287</v>
      </c>
      <c r="H46" s="137" t="s">
        <v>1288</v>
      </c>
      <c r="I46" s="137" t="s">
        <v>1289</v>
      </c>
      <c r="J46" s="137" t="s">
        <v>1290</v>
      </c>
      <c r="K46" s="137" t="s">
        <v>1291</v>
      </c>
      <c r="L46" s="112">
        <f>_xlfn.XLOOKUP(B46,Summary!B:B,Summary!G:G)</f>
        <v>0</v>
      </c>
      <c r="M46" s="112"/>
      <c r="N46" s="112"/>
      <c r="O46" s="112" t="str">
        <f t="shared" si="1"/>
        <v>-255</v>
      </c>
      <c r="P46" s="112" t="s">
        <v>1165</v>
      </c>
      <c r="Q46" s="112" t="s">
        <v>1065</v>
      </c>
      <c r="R46" s="112"/>
      <c r="S46" s="112"/>
      <c r="T46" s="112"/>
      <c r="U46" s="112"/>
      <c r="V46" s="112"/>
      <c r="W46" s="112"/>
    </row>
    <row r="47" spans="1:23" ht="12.75" customHeight="1">
      <c r="A47" s="136" t="str">
        <f>_xlfn.XLOOKUP(B47,Summary!B:B,Summary!C:C,"")</f>
        <v>Antminer S21</v>
      </c>
      <c r="B47" s="137" t="s">
        <v>164</v>
      </c>
      <c r="C47" s="165" t="s">
        <v>1292</v>
      </c>
      <c r="D47" s="137" t="s">
        <v>1293</v>
      </c>
      <c r="E47" s="137" t="s">
        <v>1294</v>
      </c>
      <c r="F47" s="137" t="s">
        <v>1295</v>
      </c>
      <c r="G47" s="137" t="s">
        <v>1296</v>
      </c>
      <c r="H47" s="137" t="s">
        <v>1297</v>
      </c>
      <c r="I47" s="137" t="s">
        <v>1298</v>
      </c>
      <c r="J47" s="137" t="s">
        <v>1299</v>
      </c>
      <c r="K47" s="137" t="s">
        <v>1300</v>
      </c>
      <c r="L47" s="112">
        <f>_xlfn.XLOOKUP(B47,Summary!B:B,Summary!G:G)</f>
        <v>0</v>
      </c>
      <c r="M47" s="112"/>
      <c r="N47" s="112"/>
      <c r="O47" s="112" t="str">
        <f t="shared" ref="O47:O94" si="2">N47&amp;"-255"</f>
        <v>-255</v>
      </c>
      <c r="P47" s="112" t="s">
        <v>1165</v>
      </c>
      <c r="Q47" s="112" t="s">
        <v>1065</v>
      </c>
      <c r="R47" s="112"/>
      <c r="S47" s="112"/>
      <c r="T47" s="112"/>
      <c r="U47" s="112"/>
      <c r="V47" s="112"/>
      <c r="W47" s="112"/>
    </row>
    <row r="48" spans="1:23" ht="12.75" customHeight="1">
      <c r="A48" s="136" t="str">
        <f>_xlfn.XLOOKUP(B48,Summary!B:B,Summary!C:C,"")</f>
        <v>Antminer S21</v>
      </c>
      <c r="B48" s="137" t="s">
        <v>165</v>
      </c>
      <c r="C48" s="165" t="s">
        <v>1301</v>
      </c>
      <c r="D48" s="137" t="s">
        <v>1302</v>
      </c>
      <c r="E48" s="137" t="s">
        <v>1303</v>
      </c>
      <c r="F48" s="137" t="s">
        <v>1304</v>
      </c>
      <c r="G48" s="137" t="s">
        <v>1305</v>
      </c>
      <c r="H48" s="137" t="s">
        <v>1306</v>
      </c>
      <c r="I48" s="137" t="s">
        <v>1307</v>
      </c>
      <c r="J48" s="137" t="s">
        <v>1308</v>
      </c>
      <c r="K48" s="137" t="s">
        <v>1309</v>
      </c>
      <c r="L48" s="112">
        <f>_xlfn.XLOOKUP(B48,Summary!B:B,Summary!G:G)</f>
        <v>0</v>
      </c>
      <c r="M48" s="112"/>
      <c r="N48" s="112"/>
      <c r="O48" s="112" t="str">
        <f t="shared" si="2"/>
        <v>-255</v>
      </c>
      <c r="P48" s="112" t="s">
        <v>1165</v>
      </c>
      <c r="Q48" s="112" t="s">
        <v>1065</v>
      </c>
      <c r="R48" s="112"/>
      <c r="S48" s="112"/>
      <c r="T48" s="112"/>
      <c r="U48" s="112"/>
      <c r="V48" s="112"/>
      <c r="W48" s="112"/>
    </row>
    <row r="49" spans="1:23" ht="12.75" customHeight="1">
      <c r="A49" s="136" t="str">
        <f>_xlfn.XLOOKUP(B49,Summary!B:B,Summary!C:C,"")</f>
        <v>Antminer S21</v>
      </c>
      <c r="B49" s="137" t="s">
        <v>168</v>
      </c>
      <c r="C49" s="165" t="s">
        <v>1310</v>
      </c>
      <c r="D49" s="137" t="s">
        <v>1311</v>
      </c>
      <c r="E49" s="137" t="s">
        <v>1312</v>
      </c>
      <c r="F49" s="137" t="s">
        <v>1313</v>
      </c>
      <c r="G49" s="137" t="s">
        <v>1314</v>
      </c>
      <c r="H49" s="137" t="s">
        <v>1315</v>
      </c>
      <c r="I49" s="137" t="s">
        <v>1316</v>
      </c>
      <c r="J49" s="137" t="s">
        <v>1317</v>
      </c>
      <c r="K49" s="137" t="s">
        <v>1318</v>
      </c>
      <c r="L49" s="112">
        <f>_xlfn.XLOOKUP(B49,Summary!B:B,Summary!G:G)</f>
        <v>0</v>
      </c>
      <c r="M49" s="112"/>
      <c r="N49" s="112"/>
      <c r="O49" s="112" t="str">
        <f t="shared" si="2"/>
        <v>-255</v>
      </c>
      <c r="P49" s="112" t="s">
        <v>1165</v>
      </c>
      <c r="Q49" s="112" t="s">
        <v>1065</v>
      </c>
      <c r="R49" s="112"/>
      <c r="S49" s="112"/>
      <c r="T49" s="112"/>
      <c r="U49" s="112"/>
      <c r="V49" s="112"/>
      <c r="W49" s="112"/>
    </row>
    <row r="50" spans="1:23" ht="12.75" customHeight="1">
      <c r="A50" s="138" t="str">
        <f>_xlfn.XLOOKUP(B50,Summary!B:B,Summary!C:C,"")</f>
        <v>Antminer S21</v>
      </c>
      <c r="B50" s="139" t="s">
        <v>169</v>
      </c>
      <c r="C50" s="166" t="s">
        <v>1319</v>
      </c>
      <c r="D50" s="139" t="s">
        <v>1320</v>
      </c>
      <c r="E50" s="139" t="s">
        <v>1321</v>
      </c>
      <c r="F50" s="139" t="s">
        <v>1322</v>
      </c>
      <c r="G50" s="139" t="s">
        <v>1323</v>
      </c>
      <c r="H50" s="139" t="s">
        <v>1324</v>
      </c>
      <c r="I50" s="139" t="s">
        <v>1325</v>
      </c>
      <c r="J50" s="139" t="s">
        <v>1326</v>
      </c>
      <c r="K50" s="139" t="s">
        <v>1327</v>
      </c>
      <c r="L50" s="112">
        <f>_xlfn.XLOOKUP(B50,Summary!B:B,Summary!G:G)</f>
        <v>1</v>
      </c>
      <c r="M50" s="112"/>
      <c r="N50" s="112"/>
      <c r="O50" s="112" t="str">
        <f t="shared" si="2"/>
        <v>-255</v>
      </c>
      <c r="P50" s="112" t="s">
        <v>952</v>
      </c>
      <c r="Q50" s="112" t="s">
        <v>1065</v>
      </c>
    </row>
    <row r="51" spans="1:23" ht="12.75" customHeight="1">
      <c r="A51" s="138" t="str">
        <f>_xlfn.XLOOKUP(B51,Summary!B:B,Summary!C:C,"")</f>
        <v>Antminer S21</v>
      </c>
      <c r="B51" s="139" t="s">
        <v>171</v>
      </c>
      <c r="C51" s="166" t="s">
        <v>1328</v>
      </c>
      <c r="D51" s="139" t="s">
        <v>1329</v>
      </c>
      <c r="E51" s="139" t="s">
        <v>1330</v>
      </c>
      <c r="F51" s="139" t="s">
        <v>1331</v>
      </c>
      <c r="G51" s="139" t="s">
        <v>1332</v>
      </c>
      <c r="H51" s="139" t="s">
        <v>1333</v>
      </c>
      <c r="I51" s="139" t="s">
        <v>1334</v>
      </c>
      <c r="J51" s="139" t="s">
        <v>1335</v>
      </c>
      <c r="K51" s="139" t="s">
        <v>1336</v>
      </c>
      <c r="L51" s="112">
        <f>_xlfn.XLOOKUP(B51,Summary!B:B,Summary!G:G)</f>
        <v>1</v>
      </c>
      <c r="M51" s="112"/>
      <c r="N51" s="112"/>
      <c r="O51" s="112" t="str">
        <f t="shared" si="2"/>
        <v>-255</v>
      </c>
      <c r="P51" s="112" t="s">
        <v>952</v>
      </c>
      <c r="Q51" s="112" t="s">
        <v>1065</v>
      </c>
    </row>
    <row r="52" spans="1:23" ht="12.75" customHeight="1">
      <c r="A52" s="141" t="str">
        <f>_xlfn.XLOOKUP(B52,Summary!B:B,Summary!C:C,"")</f>
        <v>TAE BESS</v>
      </c>
      <c r="B52" s="140" t="s">
        <v>172</v>
      </c>
      <c r="C52" s="168" t="s">
        <v>1337</v>
      </c>
      <c r="D52" s="141" t="s">
        <v>1338</v>
      </c>
      <c r="E52" s="141" t="s">
        <v>1339</v>
      </c>
      <c r="F52" s="141" t="s">
        <v>1340</v>
      </c>
      <c r="G52" s="141" t="s">
        <v>1341</v>
      </c>
      <c r="H52" s="141" t="s">
        <v>1342</v>
      </c>
      <c r="I52" s="141" t="s">
        <v>1343</v>
      </c>
      <c r="J52" s="141" t="s">
        <v>1344</v>
      </c>
      <c r="K52" s="141" t="s">
        <v>1345</v>
      </c>
      <c r="L52" s="112">
        <f>_xlfn.XLOOKUP(B52,Summary!B:B,Summary!G:G)</f>
        <v>1</v>
      </c>
      <c r="M52" s="112"/>
      <c r="N52" s="112"/>
      <c r="O52" s="112" t="str">
        <f t="shared" si="2"/>
        <v>-255</v>
      </c>
      <c r="Q52" s="117"/>
    </row>
    <row r="53" spans="1:23" ht="12.75" customHeight="1">
      <c r="A53" s="138" t="str">
        <f>_xlfn.XLOOKUP(B53,Summary!B:B,Summary!C:C,"")</f>
        <v>Whatsminer M56S++</v>
      </c>
      <c r="B53" s="139" t="s">
        <v>178</v>
      </c>
      <c r="C53" s="166" t="s">
        <v>1346</v>
      </c>
      <c r="D53" s="139" t="s">
        <v>1347</v>
      </c>
      <c r="E53" s="139" t="s">
        <v>1348</v>
      </c>
      <c r="F53" s="139" t="s">
        <v>1349</v>
      </c>
      <c r="G53" s="139" t="s">
        <v>1350</v>
      </c>
      <c r="H53" s="139" t="s">
        <v>1351</v>
      </c>
      <c r="I53" s="139" t="s">
        <v>1352</v>
      </c>
      <c r="J53" s="139" t="s">
        <v>1353</v>
      </c>
      <c r="K53" s="139" t="s">
        <v>1354</v>
      </c>
      <c r="L53" s="112">
        <f>_xlfn.XLOOKUP(B53,Summary!B:B,Summary!G:G)</f>
        <v>1</v>
      </c>
      <c r="M53" s="112"/>
      <c r="N53" s="112"/>
      <c r="O53" s="112" t="str">
        <f t="shared" si="2"/>
        <v>-255</v>
      </c>
      <c r="P53" s="112" t="s">
        <v>952</v>
      </c>
      <c r="Q53" s="112" t="s">
        <v>953</v>
      </c>
    </row>
    <row r="54" spans="1:23" ht="12.75" customHeight="1">
      <c r="A54" s="138" t="str">
        <f>_xlfn.XLOOKUP(B54,Summary!B:B,Summary!C:C,"")</f>
        <v>Whatsminer M56S++</v>
      </c>
      <c r="B54" s="139" t="s">
        <v>179</v>
      </c>
      <c r="C54" s="166" t="s">
        <v>1355</v>
      </c>
      <c r="D54" s="139" t="s">
        <v>1356</v>
      </c>
      <c r="E54" s="139" t="s">
        <v>1357</v>
      </c>
      <c r="F54" s="139" t="s">
        <v>1358</v>
      </c>
      <c r="G54" s="139" t="s">
        <v>1359</v>
      </c>
      <c r="H54" s="139" t="s">
        <v>1360</v>
      </c>
      <c r="I54" s="139" t="s">
        <v>1361</v>
      </c>
      <c r="J54" s="139" t="s">
        <v>1362</v>
      </c>
      <c r="K54" s="139" t="s">
        <v>1363</v>
      </c>
      <c r="L54" s="112">
        <f>_xlfn.XLOOKUP(B54,Summary!B:B,Summary!G:G)</f>
        <v>1</v>
      </c>
      <c r="M54" s="112"/>
      <c r="N54" s="112"/>
      <c r="O54" s="112" t="str">
        <f t="shared" si="2"/>
        <v>-255</v>
      </c>
      <c r="P54" s="112" t="s">
        <v>952</v>
      </c>
      <c r="Q54" s="112" t="s">
        <v>953</v>
      </c>
    </row>
    <row r="55" spans="1:23" ht="12.75" customHeight="1">
      <c r="A55" s="138" t="str">
        <f>_xlfn.XLOOKUP(B55,Summary!B:B,Summary!C:C,"")</f>
        <v>Whatsminer M56S++</v>
      </c>
      <c r="B55" s="139" t="s">
        <v>181</v>
      </c>
      <c r="C55" s="166" t="s">
        <v>1364</v>
      </c>
      <c r="D55" s="139" t="s">
        <v>1365</v>
      </c>
      <c r="E55" s="139" t="s">
        <v>1366</v>
      </c>
      <c r="F55" s="139" t="s">
        <v>1367</v>
      </c>
      <c r="G55" s="139" t="s">
        <v>1368</v>
      </c>
      <c r="H55" s="139" t="s">
        <v>1369</v>
      </c>
      <c r="I55" s="139" t="s">
        <v>1370</v>
      </c>
      <c r="J55" s="139" t="s">
        <v>1371</v>
      </c>
      <c r="K55" s="139" t="s">
        <v>1372</v>
      </c>
      <c r="L55" s="112">
        <f>_xlfn.XLOOKUP(B55,Summary!B:B,Summary!G:G)</f>
        <v>1</v>
      </c>
      <c r="M55" s="112"/>
      <c r="N55" s="112"/>
      <c r="O55" s="112" t="str">
        <f t="shared" si="2"/>
        <v>-255</v>
      </c>
      <c r="P55" s="112" t="s">
        <v>952</v>
      </c>
      <c r="Q55" s="112" t="s">
        <v>953</v>
      </c>
    </row>
    <row r="56" spans="1:23" ht="12.75" customHeight="1">
      <c r="A56" s="121" t="str">
        <f>_xlfn.XLOOKUP(B56,Summary!B:B,Summary!C:C,"")</f>
        <v>Whatsminer M56S++ / M66S</v>
      </c>
      <c r="B56" s="120" t="s">
        <v>182</v>
      </c>
      <c r="C56" s="167" t="s">
        <v>1373</v>
      </c>
      <c r="D56" s="120" t="s">
        <v>1374</v>
      </c>
      <c r="E56" s="120" t="s">
        <v>1375</v>
      </c>
      <c r="F56" s="120" t="s">
        <v>1376</v>
      </c>
      <c r="G56" s="120" t="s">
        <v>1377</v>
      </c>
      <c r="H56" s="120" t="s">
        <v>1378</v>
      </c>
      <c r="I56" s="120" t="s">
        <v>1379</v>
      </c>
      <c r="J56" s="120" t="s">
        <v>1380</v>
      </c>
      <c r="K56" s="120" t="s">
        <v>1381</v>
      </c>
      <c r="L56" s="112" t="str">
        <f>_xlfn.XLOOKUP(B56,Summary!B:B,Summary!G:G)</f>
        <v>1+</v>
      </c>
      <c r="M56" s="112"/>
      <c r="N56" s="112"/>
      <c r="O56" s="112" t="str">
        <f t="shared" si="2"/>
        <v>-255</v>
      </c>
      <c r="P56" s="112" t="s">
        <v>952</v>
      </c>
      <c r="Q56" s="112" t="s">
        <v>953</v>
      </c>
    </row>
    <row r="57" spans="1:23" ht="12.75" customHeight="1">
      <c r="A57" s="121" t="str">
        <f>_xlfn.XLOOKUP(B57,Summary!B:B,Summary!C:C,"")</f>
        <v>Whatsminer M66S</v>
      </c>
      <c r="B57" s="120" t="s">
        <v>186</v>
      </c>
      <c r="C57" s="167" t="s">
        <v>1382</v>
      </c>
      <c r="D57" s="120" t="s">
        <v>1383</v>
      </c>
      <c r="E57" s="120" t="s">
        <v>1384</v>
      </c>
      <c r="F57" s="120" t="s">
        <v>1385</v>
      </c>
      <c r="G57" s="120" t="s">
        <v>1386</v>
      </c>
      <c r="H57" s="120" t="s">
        <v>1387</v>
      </c>
      <c r="I57" s="120" t="s">
        <v>1388</v>
      </c>
      <c r="J57" s="120" t="s">
        <v>1389</v>
      </c>
      <c r="K57" s="120" t="s">
        <v>1390</v>
      </c>
      <c r="L57" s="112" t="str">
        <f>_xlfn.XLOOKUP(B57,Summary!B:B,Summary!G:G)</f>
        <v>1+</v>
      </c>
      <c r="M57" s="112"/>
      <c r="N57" s="112"/>
      <c r="O57" s="112" t="str">
        <f t="shared" si="2"/>
        <v>-255</v>
      </c>
      <c r="P57" s="112" t="s">
        <v>952</v>
      </c>
      <c r="Q57" s="112" t="s">
        <v>953</v>
      </c>
    </row>
    <row r="58" spans="1:23" ht="12.75" customHeight="1">
      <c r="A58" s="121" t="str">
        <f>_xlfn.XLOOKUP(B58,Summary!B:B,Summary!C:C,"")</f>
        <v>Antminer S21</v>
      </c>
      <c r="B58" s="120" t="s">
        <v>187</v>
      </c>
      <c r="C58" s="167" t="s">
        <v>1391</v>
      </c>
      <c r="D58" s="120" t="s">
        <v>1392</v>
      </c>
      <c r="E58" s="120" t="s">
        <v>1393</v>
      </c>
      <c r="F58" s="120" t="s">
        <v>1394</v>
      </c>
      <c r="G58" s="120" t="s">
        <v>1395</v>
      </c>
      <c r="H58" s="120" t="s">
        <v>1396</v>
      </c>
      <c r="I58" s="120" t="s">
        <v>1397</v>
      </c>
      <c r="J58" s="120" t="s">
        <v>1398</v>
      </c>
      <c r="K58" s="120" t="s">
        <v>1399</v>
      </c>
      <c r="L58" s="112" t="str">
        <f>_xlfn.XLOOKUP(B58,Summary!B:B,Summary!G:G)</f>
        <v>1+</v>
      </c>
      <c r="M58" s="112"/>
      <c r="N58" s="112"/>
      <c r="O58" s="112" t="str">
        <f t="shared" si="2"/>
        <v>-255</v>
      </c>
      <c r="P58" s="112" t="s">
        <v>952</v>
      </c>
      <c r="Q58" s="112" t="s">
        <v>1065</v>
      </c>
    </row>
    <row r="59" spans="1:23" ht="12.75" customHeight="1">
      <c r="A59" s="121" t="str">
        <f>_xlfn.XLOOKUP(B59,Summary!B:B,Summary!C:C,"")</f>
        <v>Antminer S21</v>
      </c>
      <c r="B59" s="120" t="s">
        <v>189</v>
      </c>
      <c r="C59" s="167" t="s">
        <v>1400</v>
      </c>
      <c r="D59" s="120" t="s">
        <v>1401</v>
      </c>
      <c r="E59" s="120" t="s">
        <v>1402</v>
      </c>
      <c r="F59" s="120" t="s">
        <v>1403</v>
      </c>
      <c r="G59" s="120" t="s">
        <v>1404</v>
      </c>
      <c r="H59" s="120" t="s">
        <v>1405</v>
      </c>
      <c r="I59" s="120" t="s">
        <v>1406</v>
      </c>
      <c r="J59" s="120" t="s">
        <v>1407</v>
      </c>
      <c r="K59" s="120" t="s">
        <v>1408</v>
      </c>
      <c r="L59" s="112" t="str">
        <f>_xlfn.XLOOKUP(B59,Summary!B:B,Summary!G:G)</f>
        <v>1+</v>
      </c>
      <c r="M59" s="112"/>
      <c r="N59" s="112"/>
      <c r="O59" s="112" t="str">
        <f t="shared" si="2"/>
        <v>-255</v>
      </c>
      <c r="P59" s="112" t="s">
        <v>952</v>
      </c>
      <c r="Q59" s="112" t="s">
        <v>1065</v>
      </c>
    </row>
    <row r="60" spans="1:23" ht="12.75" customHeight="1">
      <c r="A60" s="121" t="str">
        <f>_xlfn.XLOOKUP(B60,Summary!B:B,Summary!C:C,"")</f>
        <v>Antminer S21</v>
      </c>
      <c r="B60" s="120" t="s">
        <v>190</v>
      </c>
      <c r="C60" s="167" t="s">
        <v>1409</v>
      </c>
      <c r="D60" s="120" t="s">
        <v>1410</v>
      </c>
      <c r="E60" s="120" t="s">
        <v>1411</v>
      </c>
      <c r="F60" s="120" t="s">
        <v>1412</v>
      </c>
      <c r="G60" s="120" t="s">
        <v>1413</v>
      </c>
      <c r="H60" s="120" t="s">
        <v>1414</v>
      </c>
      <c r="I60" s="120" t="s">
        <v>1415</v>
      </c>
      <c r="J60" s="120" t="s">
        <v>1416</v>
      </c>
      <c r="K60" s="120" t="s">
        <v>1417</v>
      </c>
      <c r="L60" s="112" t="str">
        <f>_xlfn.XLOOKUP(B60,Summary!B:B,Summary!G:G)</f>
        <v>1+</v>
      </c>
      <c r="M60" s="112"/>
      <c r="N60" s="112"/>
      <c r="O60" s="112" t="str">
        <f t="shared" si="2"/>
        <v>-255</v>
      </c>
      <c r="P60" s="112" t="s">
        <v>952</v>
      </c>
      <c r="Q60" s="112" t="s">
        <v>1065</v>
      </c>
    </row>
    <row r="61" spans="1:23" ht="12.75" customHeight="1">
      <c r="A61" s="121" t="str">
        <f>_xlfn.XLOOKUP(B61,Summary!B:B,Summary!C:C,"")</f>
        <v>Antminer S21</v>
      </c>
      <c r="B61" s="120" t="s">
        <v>193</v>
      </c>
      <c r="C61" s="167" t="s">
        <v>1418</v>
      </c>
      <c r="D61" s="120" t="s">
        <v>1419</v>
      </c>
      <c r="E61" s="120" t="s">
        <v>1420</v>
      </c>
      <c r="F61" s="120" t="s">
        <v>1421</v>
      </c>
      <c r="G61" s="120" t="s">
        <v>1422</v>
      </c>
      <c r="H61" s="120" t="s">
        <v>1423</v>
      </c>
      <c r="I61" s="120" t="s">
        <v>1424</v>
      </c>
      <c r="J61" s="120" t="s">
        <v>1425</v>
      </c>
      <c r="K61" s="120" t="s">
        <v>1426</v>
      </c>
      <c r="L61" s="112" t="str">
        <f>_xlfn.XLOOKUP(B61,Summary!B:B,Summary!G:G)</f>
        <v>1+</v>
      </c>
      <c r="M61" s="112"/>
      <c r="N61" s="112"/>
      <c r="O61" s="112" t="str">
        <f t="shared" si="2"/>
        <v>-255</v>
      </c>
      <c r="P61" s="112" t="s">
        <v>952</v>
      </c>
      <c r="Q61" s="112" t="s">
        <v>1065</v>
      </c>
    </row>
    <row r="62" spans="1:23" ht="12.75" customHeight="1">
      <c r="A62" s="121" t="str">
        <f>_xlfn.XLOOKUP(B62,Summary!B:B,Summary!C:C,"")</f>
        <v>Antminer S21</v>
      </c>
      <c r="B62" s="120" t="s">
        <v>194</v>
      </c>
      <c r="C62" s="167" t="s">
        <v>1427</v>
      </c>
      <c r="D62" s="120" t="s">
        <v>1428</v>
      </c>
      <c r="E62" s="120" t="s">
        <v>1429</v>
      </c>
      <c r="F62" s="120" t="s">
        <v>1430</v>
      </c>
      <c r="G62" s="120" t="s">
        <v>1431</v>
      </c>
      <c r="H62" s="120" t="s">
        <v>1432</v>
      </c>
      <c r="I62" s="120" t="s">
        <v>1433</v>
      </c>
      <c r="J62" s="120" t="s">
        <v>1434</v>
      </c>
      <c r="K62" s="120" t="s">
        <v>1435</v>
      </c>
      <c r="L62" s="112" t="str">
        <f>_xlfn.XLOOKUP(B62,Summary!B:B,Summary!G:G)</f>
        <v>1+</v>
      </c>
      <c r="M62" s="112"/>
      <c r="N62" s="112"/>
      <c r="O62" s="112" t="str">
        <f t="shared" si="2"/>
        <v>-255</v>
      </c>
      <c r="P62" s="112" t="s">
        <v>952</v>
      </c>
      <c r="Q62" s="112" t="s">
        <v>1065</v>
      </c>
    </row>
    <row r="63" spans="1:23" ht="12.75" customHeight="1">
      <c r="A63" s="121" t="str">
        <f>_xlfn.XLOOKUP(B63,Summary!B:B,Summary!C:C,"")</f>
        <v>Antminer S21</v>
      </c>
      <c r="B63" s="120" t="s">
        <v>196</v>
      </c>
      <c r="C63" s="167" t="s">
        <v>1436</v>
      </c>
      <c r="D63" s="120" t="s">
        <v>1437</v>
      </c>
      <c r="E63" s="120" t="s">
        <v>1438</v>
      </c>
      <c r="F63" s="120" t="s">
        <v>1439</v>
      </c>
      <c r="G63" s="120" t="s">
        <v>1440</v>
      </c>
      <c r="H63" s="120" t="s">
        <v>1441</v>
      </c>
      <c r="I63" s="120" t="s">
        <v>1442</v>
      </c>
      <c r="J63" s="120" t="s">
        <v>1443</v>
      </c>
      <c r="K63" s="120" t="s">
        <v>1444</v>
      </c>
      <c r="L63" s="112" t="str">
        <f>_xlfn.XLOOKUP(B63,Summary!B:B,Summary!G:G)</f>
        <v>1+</v>
      </c>
      <c r="M63" s="112"/>
      <c r="N63" s="112"/>
      <c r="O63" s="112" t="str">
        <f t="shared" si="2"/>
        <v>-255</v>
      </c>
      <c r="P63" s="112" t="s">
        <v>952</v>
      </c>
      <c r="Q63" s="112" t="s">
        <v>1065</v>
      </c>
    </row>
    <row r="64" spans="1:23" ht="12.75" customHeight="1">
      <c r="A64" s="121" t="str">
        <f>_xlfn.XLOOKUP(B64,Summary!B:B,Summary!C:C,"")</f>
        <v>Antminer S21</v>
      </c>
      <c r="B64" s="120" t="s">
        <v>197</v>
      </c>
      <c r="C64" s="167" t="s">
        <v>1445</v>
      </c>
      <c r="D64" s="120" t="s">
        <v>1446</v>
      </c>
      <c r="E64" s="120" t="s">
        <v>1447</v>
      </c>
      <c r="F64" s="120" t="s">
        <v>1448</v>
      </c>
      <c r="G64" s="120" t="s">
        <v>1449</v>
      </c>
      <c r="H64" s="120" t="s">
        <v>1450</v>
      </c>
      <c r="I64" s="120" t="s">
        <v>1451</v>
      </c>
      <c r="J64" s="120" t="s">
        <v>1452</v>
      </c>
      <c r="K64" s="120" t="s">
        <v>1453</v>
      </c>
      <c r="L64" s="112" t="str">
        <f>_xlfn.XLOOKUP(B64,Summary!B:B,Summary!G:G)</f>
        <v>1+</v>
      </c>
      <c r="M64" s="112"/>
      <c r="N64" s="112"/>
      <c r="O64" s="112" t="str">
        <f t="shared" si="2"/>
        <v>-255</v>
      </c>
      <c r="P64" s="112" t="s">
        <v>952</v>
      </c>
      <c r="Q64" s="112" t="s">
        <v>1065</v>
      </c>
    </row>
    <row r="65" spans="1:17" ht="12.75" customHeight="1">
      <c r="A65" s="121" t="str">
        <f>_xlfn.XLOOKUP(B65,Summary!B:B,Summary!C:C,"")</f>
        <v>Antminer S21</v>
      </c>
      <c r="B65" s="120" t="s">
        <v>199</v>
      </c>
      <c r="C65" s="167" t="s">
        <v>1454</v>
      </c>
      <c r="D65" s="120" t="s">
        <v>1455</v>
      </c>
      <c r="E65" s="120" t="s">
        <v>1456</v>
      </c>
      <c r="F65" s="120" t="s">
        <v>1457</v>
      </c>
      <c r="G65" s="120" t="s">
        <v>1458</v>
      </c>
      <c r="H65" s="120" t="s">
        <v>1459</v>
      </c>
      <c r="I65" s="120" t="s">
        <v>1460</v>
      </c>
      <c r="J65" s="120" t="s">
        <v>1461</v>
      </c>
      <c r="K65" s="120" t="s">
        <v>1462</v>
      </c>
      <c r="L65" s="112" t="str">
        <f>_xlfn.XLOOKUP(B65,Summary!B:B,Summary!G:G)</f>
        <v>1+</v>
      </c>
      <c r="M65" s="112"/>
      <c r="N65" s="112"/>
      <c r="O65" s="112" t="str">
        <f t="shared" si="2"/>
        <v>-255</v>
      </c>
      <c r="P65" s="112" t="s">
        <v>952</v>
      </c>
      <c r="Q65" s="112" t="s">
        <v>1065</v>
      </c>
    </row>
    <row r="66" spans="1:17" ht="12.75" customHeight="1">
      <c r="A66" s="121" t="str">
        <f>_xlfn.XLOOKUP(B66,Summary!B:B,Summary!C:C,"")</f>
        <v>Antminer S21</v>
      </c>
      <c r="B66" s="120" t="s">
        <v>200</v>
      </c>
      <c r="C66" s="167" t="s">
        <v>1463</v>
      </c>
      <c r="D66" s="120" t="s">
        <v>1464</v>
      </c>
      <c r="E66" s="120" t="s">
        <v>1465</v>
      </c>
      <c r="F66" s="120" t="s">
        <v>1466</v>
      </c>
      <c r="G66" s="120" t="s">
        <v>1467</v>
      </c>
      <c r="H66" s="120" t="s">
        <v>1468</v>
      </c>
      <c r="I66" s="120" t="s">
        <v>1469</v>
      </c>
      <c r="J66" s="120" t="s">
        <v>1470</v>
      </c>
      <c r="K66" s="120" t="s">
        <v>1471</v>
      </c>
      <c r="L66" s="112" t="str">
        <f>_xlfn.XLOOKUP(B66,Summary!B:B,Summary!G:G)</f>
        <v>1+</v>
      </c>
      <c r="M66" s="112"/>
      <c r="N66" s="112"/>
      <c r="O66" s="112" t="str">
        <f t="shared" si="2"/>
        <v>-255</v>
      </c>
      <c r="P66" s="112" t="s">
        <v>952</v>
      </c>
      <c r="Q66" s="112" t="s">
        <v>1065</v>
      </c>
    </row>
    <row r="67" spans="1:17" ht="12.75" customHeight="1">
      <c r="A67" s="121" t="str">
        <f>_xlfn.XLOOKUP(B67,Summary!B:B,Summary!C:C,"")</f>
        <v>Antminer S21</v>
      </c>
      <c r="B67" s="120" t="s">
        <v>202</v>
      </c>
      <c r="C67" s="167" t="s">
        <v>1472</v>
      </c>
      <c r="D67" s="120" t="s">
        <v>1473</v>
      </c>
      <c r="E67" s="120" t="s">
        <v>1474</v>
      </c>
      <c r="F67" s="120" t="s">
        <v>1475</v>
      </c>
      <c r="G67" s="120" t="s">
        <v>1476</v>
      </c>
      <c r="H67" s="120" t="s">
        <v>1477</v>
      </c>
      <c r="I67" s="120" t="s">
        <v>1478</v>
      </c>
      <c r="J67" s="120" t="s">
        <v>1479</v>
      </c>
      <c r="K67" s="120" t="s">
        <v>1480</v>
      </c>
      <c r="L67" s="112" t="str">
        <f>_xlfn.XLOOKUP(B67,Summary!B:B,Summary!G:G)</f>
        <v>1+</v>
      </c>
      <c r="M67" s="112"/>
      <c r="N67" s="112"/>
      <c r="O67" s="112" t="str">
        <f t="shared" si="2"/>
        <v>-255</v>
      </c>
      <c r="P67" s="112" t="s">
        <v>952</v>
      </c>
      <c r="Q67" s="112" t="s">
        <v>1065</v>
      </c>
    </row>
    <row r="68" spans="1:17" ht="12.75" customHeight="1">
      <c r="A68" s="121" t="str">
        <f>_xlfn.XLOOKUP(B68,Summary!B:B,Summary!C:C,"")</f>
        <v>Antminer S21</v>
      </c>
      <c r="B68" s="120" t="s">
        <v>203</v>
      </c>
      <c r="C68" s="167" t="s">
        <v>1481</v>
      </c>
      <c r="D68" s="120" t="s">
        <v>1482</v>
      </c>
      <c r="E68" s="120" t="s">
        <v>1483</v>
      </c>
      <c r="F68" s="120" t="s">
        <v>1484</v>
      </c>
      <c r="G68" s="120" t="s">
        <v>1485</v>
      </c>
      <c r="H68" s="120" t="s">
        <v>1486</v>
      </c>
      <c r="I68" s="120" t="s">
        <v>1487</v>
      </c>
      <c r="J68" s="120" t="s">
        <v>1488</v>
      </c>
      <c r="K68" s="120" t="s">
        <v>1489</v>
      </c>
      <c r="L68" s="112" t="str">
        <f>_xlfn.XLOOKUP(B68,Summary!B:B,Summary!G:G)</f>
        <v>1+</v>
      </c>
      <c r="M68" s="112"/>
      <c r="N68" s="112"/>
      <c r="O68" s="112" t="str">
        <f t="shared" si="2"/>
        <v>-255</v>
      </c>
      <c r="P68" s="112" t="s">
        <v>952</v>
      </c>
      <c r="Q68" s="112" t="s">
        <v>1065</v>
      </c>
    </row>
    <row r="69" spans="1:17" ht="12.75" customHeight="1">
      <c r="A69" s="121" t="str">
        <f>_xlfn.XLOOKUP(B69,Summary!B:B,Summary!C:C,"")</f>
        <v>Antminer S21</v>
      </c>
      <c r="B69" s="120" t="s">
        <v>205</v>
      </c>
      <c r="C69" s="167" t="s">
        <v>1490</v>
      </c>
      <c r="D69" s="120" t="s">
        <v>1491</v>
      </c>
      <c r="E69" s="120" t="s">
        <v>1492</v>
      </c>
      <c r="F69" s="120" t="s">
        <v>1493</v>
      </c>
      <c r="G69" s="120" t="s">
        <v>1494</v>
      </c>
      <c r="H69" s="120" t="s">
        <v>1495</v>
      </c>
      <c r="I69" s="120" t="s">
        <v>1496</v>
      </c>
      <c r="J69" s="120" t="s">
        <v>1497</v>
      </c>
      <c r="K69" s="120" t="s">
        <v>1498</v>
      </c>
      <c r="L69" s="112" t="str">
        <f>_xlfn.XLOOKUP(B69,Summary!B:B,Summary!G:G)</f>
        <v>1+</v>
      </c>
      <c r="M69" s="112"/>
      <c r="N69" s="112"/>
      <c r="O69" s="112" t="str">
        <f t="shared" si="2"/>
        <v>-255</v>
      </c>
      <c r="P69" s="112" t="s">
        <v>952</v>
      </c>
      <c r="Q69" s="112" t="s">
        <v>1065</v>
      </c>
    </row>
    <row r="70" spans="1:17" ht="12.75" customHeight="1">
      <c r="A70" s="121" t="str">
        <f>_xlfn.XLOOKUP(B70,Summary!B:B,Summary!C:C,"")</f>
        <v>Antminer S21</v>
      </c>
      <c r="B70" s="120" t="s">
        <v>206</v>
      </c>
      <c r="C70" s="167" t="s">
        <v>1499</v>
      </c>
      <c r="D70" s="120" t="s">
        <v>1500</v>
      </c>
      <c r="E70" s="120" t="s">
        <v>1501</v>
      </c>
      <c r="F70" s="120" t="s">
        <v>1502</v>
      </c>
      <c r="G70" s="120" t="s">
        <v>1503</v>
      </c>
      <c r="H70" s="120" t="s">
        <v>1504</v>
      </c>
      <c r="I70" s="120" t="s">
        <v>1505</v>
      </c>
      <c r="J70" s="120" t="s">
        <v>1506</v>
      </c>
      <c r="K70" s="120" t="s">
        <v>1507</v>
      </c>
      <c r="L70" s="112" t="str">
        <f>_xlfn.XLOOKUP(B70,Summary!B:B,Summary!G:G)</f>
        <v>1+</v>
      </c>
      <c r="M70" s="112"/>
      <c r="N70" s="112"/>
      <c r="O70" s="112" t="str">
        <f t="shared" si="2"/>
        <v>-255</v>
      </c>
      <c r="P70" s="112" t="s">
        <v>952</v>
      </c>
      <c r="Q70" s="112" t="s">
        <v>1065</v>
      </c>
    </row>
    <row r="71" spans="1:17" ht="12.75" customHeight="1">
      <c r="A71" s="121" t="str">
        <f>_xlfn.XLOOKUP(B71,Summary!B:B,Summary!C:C,"")</f>
        <v>Antminer S21</v>
      </c>
      <c r="B71" s="120" t="s">
        <v>208</v>
      </c>
      <c r="C71" s="167" t="s">
        <v>1508</v>
      </c>
      <c r="D71" s="120" t="s">
        <v>1509</v>
      </c>
      <c r="E71" s="120" t="s">
        <v>1510</v>
      </c>
      <c r="F71" s="120" t="s">
        <v>1511</v>
      </c>
      <c r="G71" s="120" t="s">
        <v>1512</v>
      </c>
      <c r="H71" s="120" t="s">
        <v>1513</v>
      </c>
      <c r="I71" s="120" t="s">
        <v>1514</v>
      </c>
      <c r="J71" s="120" t="s">
        <v>1515</v>
      </c>
      <c r="K71" s="120" t="s">
        <v>1516</v>
      </c>
      <c r="L71" s="112" t="str">
        <f>_xlfn.XLOOKUP(B71,Summary!B:B,Summary!G:G)</f>
        <v>1+</v>
      </c>
      <c r="M71" s="112"/>
      <c r="N71" s="112"/>
      <c r="O71" s="112" t="str">
        <f t="shared" si="2"/>
        <v>-255</v>
      </c>
      <c r="P71" s="112" t="s">
        <v>952</v>
      </c>
      <c r="Q71" s="112" t="s">
        <v>1065</v>
      </c>
    </row>
    <row r="72" spans="1:17" ht="12.75" customHeight="1">
      <c r="A72" s="121" t="str">
        <f>_xlfn.XLOOKUP(B72,Summary!B:B,Summary!C:C,"")</f>
        <v>Antminer S21</v>
      </c>
      <c r="B72" s="120" t="s">
        <v>209</v>
      </c>
      <c r="C72" s="167" t="s">
        <v>1517</v>
      </c>
      <c r="D72" s="120" t="s">
        <v>1518</v>
      </c>
      <c r="E72" s="120" t="s">
        <v>1519</v>
      </c>
      <c r="F72" s="120" t="s">
        <v>1520</v>
      </c>
      <c r="G72" s="120" t="s">
        <v>1521</v>
      </c>
      <c r="H72" s="120" t="s">
        <v>1522</v>
      </c>
      <c r="I72" s="120" t="s">
        <v>1523</v>
      </c>
      <c r="J72" s="120" t="s">
        <v>1524</v>
      </c>
      <c r="K72" s="120" t="s">
        <v>1525</v>
      </c>
      <c r="L72" s="112" t="str">
        <f>_xlfn.XLOOKUP(B72,Summary!B:B,Summary!G:G)</f>
        <v>1+</v>
      </c>
      <c r="M72" s="112"/>
      <c r="N72" s="112"/>
      <c r="O72" s="112" t="str">
        <f t="shared" si="2"/>
        <v>-255</v>
      </c>
      <c r="P72" s="112" t="s">
        <v>952</v>
      </c>
      <c r="Q72" s="112" t="s">
        <v>1065</v>
      </c>
    </row>
    <row r="73" spans="1:17" ht="12.75" customHeight="1">
      <c r="A73" s="121" t="str">
        <f>_xlfn.XLOOKUP(B73,Summary!B:B,Summary!C:C,"")</f>
        <v>Antminer S21</v>
      </c>
      <c r="B73" s="120" t="s">
        <v>211</v>
      </c>
      <c r="C73" s="167" t="s">
        <v>1526</v>
      </c>
      <c r="D73" s="120" t="s">
        <v>1527</v>
      </c>
      <c r="E73" s="120" t="s">
        <v>1528</v>
      </c>
      <c r="F73" s="120" t="s">
        <v>1529</v>
      </c>
      <c r="G73" s="120" t="s">
        <v>1530</v>
      </c>
      <c r="H73" s="120" t="s">
        <v>1531</v>
      </c>
      <c r="I73" s="120" t="s">
        <v>1532</v>
      </c>
      <c r="J73" s="120" t="s">
        <v>1533</v>
      </c>
      <c r="K73" s="120" t="s">
        <v>1534</v>
      </c>
      <c r="L73" s="112" t="str">
        <f>_xlfn.XLOOKUP(B73,Summary!B:B,Summary!G:G)</f>
        <v>1+</v>
      </c>
      <c r="M73" s="112"/>
      <c r="N73" s="112"/>
      <c r="O73" s="112" t="str">
        <f t="shared" si="2"/>
        <v>-255</v>
      </c>
      <c r="P73" s="112" t="s">
        <v>952</v>
      </c>
      <c r="Q73" s="112" t="s">
        <v>1065</v>
      </c>
    </row>
    <row r="74" spans="1:17" ht="12.75" customHeight="1">
      <c r="A74" s="121" t="str">
        <f>_xlfn.XLOOKUP(B74,Summary!B:B,Summary!C:C,"")</f>
        <v>Antminer S21</v>
      </c>
      <c r="B74" s="120" t="s">
        <v>212</v>
      </c>
      <c r="C74" s="167" t="s">
        <v>1535</v>
      </c>
      <c r="D74" s="120" t="s">
        <v>1536</v>
      </c>
      <c r="E74" s="120" t="s">
        <v>1537</v>
      </c>
      <c r="F74" s="120" t="s">
        <v>1538</v>
      </c>
      <c r="G74" s="120" t="s">
        <v>1539</v>
      </c>
      <c r="H74" s="120" t="s">
        <v>1540</v>
      </c>
      <c r="I74" s="120" t="s">
        <v>1541</v>
      </c>
      <c r="J74" s="120" t="s">
        <v>1542</v>
      </c>
      <c r="K74" s="120" t="s">
        <v>1543</v>
      </c>
      <c r="L74" s="112" t="str">
        <f>_xlfn.XLOOKUP(B74,Summary!B:B,Summary!G:G)</f>
        <v>1+</v>
      </c>
      <c r="M74" s="112"/>
      <c r="N74" s="112"/>
      <c r="O74" s="112" t="str">
        <f t="shared" si="2"/>
        <v>-255</v>
      </c>
      <c r="P74" s="112" t="s">
        <v>952</v>
      </c>
      <c r="Q74" s="112" t="s">
        <v>1065</v>
      </c>
    </row>
    <row r="75" spans="1:17" ht="12.75" customHeight="1">
      <c r="A75" s="121" t="str">
        <f>_xlfn.XLOOKUP(B75,Summary!B:B,Summary!C:C,"")</f>
        <v>Antminer S21</v>
      </c>
      <c r="B75" s="120" t="s">
        <v>214</v>
      </c>
      <c r="C75" s="167" t="s">
        <v>1544</v>
      </c>
      <c r="D75" s="120" t="s">
        <v>1545</v>
      </c>
      <c r="E75" s="120" t="s">
        <v>1546</v>
      </c>
      <c r="F75" s="120" t="s">
        <v>1547</v>
      </c>
      <c r="G75" s="120" t="s">
        <v>1548</v>
      </c>
      <c r="H75" s="120" t="s">
        <v>1549</v>
      </c>
      <c r="I75" s="120" t="s">
        <v>1550</v>
      </c>
      <c r="J75" s="120" t="s">
        <v>1551</v>
      </c>
      <c r="K75" s="120" t="s">
        <v>1552</v>
      </c>
      <c r="L75" s="112" t="str">
        <f>_xlfn.XLOOKUP(B75,Summary!B:B,Summary!G:G)</f>
        <v>1+</v>
      </c>
      <c r="M75" s="112"/>
      <c r="N75" s="112"/>
      <c r="O75" s="112" t="str">
        <f t="shared" si="2"/>
        <v>-255</v>
      </c>
      <c r="P75" s="112" t="s">
        <v>952</v>
      </c>
      <c r="Q75" s="112" t="s">
        <v>1065</v>
      </c>
    </row>
    <row r="76" spans="1:17" ht="12.75" customHeight="1">
      <c r="A76" s="142" t="str">
        <f>_xlfn.XLOOKUP(B76,Summary!B:B,Summary!C:C,"")</f>
        <v>Antminer S21</v>
      </c>
      <c r="B76" s="130" t="s">
        <v>215</v>
      </c>
      <c r="C76" s="169" t="s">
        <v>1553</v>
      </c>
      <c r="D76" s="130" t="s">
        <v>1554</v>
      </c>
      <c r="E76" s="130" t="s">
        <v>1555</v>
      </c>
      <c r="F76" s="130" t="s">
        <v>1556</v>
      </c>
      <c r="G76" s="130" t="s">
        <v>1557</v>
      </c>
      <c r="H76" s="130" t="s">
        <v>1558</v>
      </c>
      <c r="I76" s="130" t="s">
        <v>1559</v>
      </c>
      <c r="J76" s="130" t="s">
        <v>1560</v>
      </c>
      <c r="K76" s="130" t="s">
        <v>1561</v>
      </c>
      <c r="L76" s="112">
        <f>_xlfn.XLOOKUP(B76,Summary!B:B,Summary!G:G)</f>
        <v>2</v>
      </c>
      <c r="M76" s="112"/>
      <c r="N76" s="112"/>
      <c r="O76" s="112" t="str">
        <f t="shared" si="2"/>
        <v>-255</v>
      </c>
      <c r="P76" s="112" t="s">
        <v>1562</v>
      </c>
      <c r="Q76" s="112" t="s">
        <v>1065</v>
      </c>
    </row>
    <row r="77" spans="1:17" ht="12.75" customHeight="1">
      <c r="A77" s="142" t="str">
        <f>_xlfn.XLOOKUP(B77,Summary!B:B,Summary!C:C,"")</f>
        <v>Antminer S21</v>
      </c>
      <c r="B77" s="130" t="s">
        <v>220</v>
      </c>
      <c r="C77" s="169" t="s">
        <v>1563</v>
      </c>
      <c r="D77" s="130" t="s">
        <v>1564</v>
      </c>
      <c r="E77" s="130" t="s">
        <v>1565</v>
      </c>
      <c r="F77" s="130" t="s">
        <v>1566</v>
      </c>
      <c r="G77" s="130" t="s">
        <v>1567</v>
      </c>
      <c r="H77" s="130" t="s">
        <v>1568</v>
      </c>
      <c r="I77" s="130" t="s">
        <v>1569</v>
      </c>
      <c r="J77" s="130" t="s">
        <v>1570</v>
      </c>
      <c r="K77" s="130" t="s">
        <v>1571</v>
      </c>
      <c r="L77" s="112">
        <f>_xlfn.XLOOKUP(B77,Summary!B:B,Summary!G:G)</f>
        <v>2</v>
      </c>
      <c r="M77" s="112"/>
      <c r="N77" s="112"/>
      <c r="O77" s="112" t="str">
        <f t="shared" si="2"/>
        <v>-255</v>
      </c>
      <c r="P77" s="112" t="s">
        <v>1562</v>
      </c>
      <c r="Q77" s="112" t="s">
        <v>1065</v>
      </c>
    </row>
    <row r="78" spans="1:17" ht="12.75" customHeight="1">
      <c r="A78" s="142" t="str">
        <f>_xlfn.XLOOKUP(B78,Summary!B:B,Summary!C:C,"")</f>
        <v>Antminer S21</v>
      </c>
      <c r="B78" s="130" t="s">
        <v>221</v>
      </c>
      <c r="C78" s="169" t="s">
        <v>1572</v>
      </c>
      <c r="D78" s="130" t="s">
        <v>1573</v>
      </c>
      <c r="E78" s="130" t="s">
        <v>1574</v>
      </c>
      <c r="F78" s="130" t="s">
        <v>1575</v>
      </c>
      <c r="G78" s="130" t="s">
        <v>1576</v>
      </c>
      <c r="H78" s="130" t="s">
        <v>1577</v>
      </c>
      <c r="I78" s="130" t="s">
        <v>1578</v>
      </c>
      <c r="J78" s="130" t="s">
        <v>1579</v>
      </c>
      <c r="K78" s="130" t="s">
        <v>1580</v>
      </c>
      <c r="L78" s="112">
        <f>_xlfn.XLOOKUP(B78,Summary!B:B,Summary!G:G)</f>
        <v>2</v>
      </c>
      <c r="M78" s="112"/>
      <c r="N78" s="112"/>
      <c r="O78" s="112" t="str">
        <f t="shared" si="2"/>
        <v>-255</v>
      </c>
      <c r="P78" s="112" t="s">
        <v>1562</v>
      </c>
      <c r="Q78" s="112" t="s">
        <v>1065</v>
      </c>
    </row>
    <row r="79" spans="1:17" ht="12.75" customHeight="1">
      <c r="A79" s="142" t="str">
        <f>_xlfn.XLOOKUP(B79,Summary!B:B,Summary!C:C,"")</f>
        <v>Antminer S21</v>
      </c>
      <c r="B79" s="130" t="s">
        <v>224</v>
      </c>
      <c r="C79" s="169" t="s">
        <v>1581</v>
      </c>
      <c r="D79" s="130" t="s">
        <v>1582</v>
      </c>
      <c r="E79" s="130" t="s">
        <v>1583</v>
      </c>
      <c r="F79" s="130" t="s">
        <v>1584</v>
      </c>
      <c r="G79" s="130" t="s">
        <v>1585</v>
      </c>
      <c r="H79" s="130" t="s">
        <v>1586</v>
      </c>
      <c r="I79" s="130" t="s">
        <v>1587</v>
      </c>
      <c r="J79" s="130" t="s">
        <v>1588</v>
      </c>
      <c r="K79" s="130" t="s">
        <v>1589</v>
      </c>
      <c r="L79" s="112">
        <f>_xlfn.XLOOKUP(B79,Summary!B:B,Summary!G:G)</f>
        <v>2</v>
      </c>
      <c r="M79" s="112"/>
      <c r="N79" s="112"/>
      <c r="O79" s="112" t="str">
        <f t="shared" si="2"/>
        <v>-255</v>
      </c>
      <c r="P79" s="112" t="s">
        <v>1562</v>
      </c>
      <c r="Q79" s="112" t="s">
        <v>1065</v>
      </c>
    </row>
    <row r="80" spans="1:17" ht="12.75" customHeight="1">
      <c r="A80" s="142" t="str">
        <f>_xlfn.XLOOKUP(B80,Summary!B:B,Summary!C:C,"")</f>
        <v>Antminer S21</v>
      </c>
      <c r="B80" s="130" t="s">
        <v>225</v>
      </c>
      <c r="C80" s="169" t="s">
        <v>1590</v>
      </c>
      <c r="D80" s="130" t="s">
        <v>1591</v>
      </c>
      <c r="E80" s="130" t="s">
        <v>1592</v>
      </c>
      <c r="F80" s="130" t="s">
        <v>1593</v>
      </c>
      <c r="G80" s="130" t="s">
        <v>1594</v>
      </c>
      <c r="H80" s="130" t="s">
        <v>1595</v>
      </c>
      <c r="I80" s="130" t="s">
        <v>1596</v>
      </c>
      <c r="J80" s="130" t="s">
        <v>1597</v>
      </c>
      <c r="K80" s="130" t="s">
        <v>1598</v>
      </c>
      <c r="L80" s="112">
        <f>_xlfn.XLOOKUP(B80,Summary!B:B,Summary!G:G)</f>
        <v>2</v>
      </c>
      <c r="M80" s="112"/>
      <c r="N80" s="112"/>
      <c r="O80" s="112" t="str">
        <f t="shared" si="2"/>
        <v>-255</v>
      </c>
      <c r="P80" s="112" t="s">
        <v>1562</v>
      </c>
      <c r="Q80" s="112" t="s">
        <v>1065</v>
      </c>
    </row>
    <row r="81" spans="1:20" ht="12.75" customHeight="1">
      <c r="A81" s="142" t="str">
        <f>_xlfn.XLOOKUP(B81,Summary!B:B,Summary!C:C,"")</f>
        <v>Antminer S21</v>
      </c>
      <c r="B81" s="130" t="s">
        <v>228</v>
      </c>
      <c r="C81" s="169" t="s">
        <v>1599</v>
      </c>
      <c r="D81" s="130" t="s">
        <v>1600</v>
      </c>
      <c r="E81" s="130" t="s">
        <v>1601</v>
      </c>
      <c r="F81" s="130" t="s">
        <v>1602</v>
      </c>
      <c r="G81" s="130" t="s">
        <v>1603</v>
      </c>
      <c r="H81" s="130" t="s">
        <v>1604</v>
      </c>
      <c r="I81" s="130" t="s">
        <v>1605</v>
      </c>
      <c r="J81" s="130" t="s">
        <v>1606</v>
      </c>
      <c r="K81" s="130" t="s">
        <v>1607</v>
      </c>
      <c r="L81" s="112">
        <f>_xlfn.XLOOKUP(B81,Summary!B:B,Summary!G:G)</f>
        <v>2</v>
      </c>
      <c r="M81" s="112"/>
      <c r="N81" s="112"/>
      <c r="O81" s="112" t="str">
        <f t="shared" si="2"/>
        <v>-255</v>
      </c>
      <c r="P81" s="112" t="s">
        <v>1562</v>
      </c>
      <c r="Q81" s="112" t="s">
        <v>1065</v>
      </c>
    </row>
    <row r="82" spans="1:20" ht="12.75" customHeight="1">
      <c r="A82" s="142" t="str">
        <f>_xlfn.XLOOKUP(B82,Summary!B:B,Summary!C:C,"")</f>
        <v>Antminer S21</v>
      </c>
      <c r="B82" s="130" t="s">
        <v>229</v>
      </c>
      <c r="C82" s="169" t="s">
        <v>1608</v>
      </c>
      <c r="D82" s="130" t="s">
        <v>1609</v>
      </c>
      <c r="E82" s="130" t="s">
        <v>1610</v>
      </c>
      <c r="F82" s="130" t="s">
        <v>1611</v>
      </c>
      <c r="G82" s="130" t="s">
        <v>1612</v>
      </c>
      <c r="H82" s="130" t="s">
        <v>1613</v>
      </c>
      <c r="I82" s="130" t="s">
        <v>1614</v>
      </c>
      <c r="J82" s="130" t="s">
        <v>1615</v>
      </c>
      <c r="K82" s="130" t="s">
        <v>1616</v>
      </c>
      <c r="L82" s="112">
        <f>_xlfn.XLOOKUP(B82,Summary!B:B,Summary!G:G)</f>
        <v>2</v>
      </c>
      <c r="M82" s="112"/>
      <c r="N82" s="112"/>
      <c r="O82" s="112" t="str">
        <f t="shared" si="2"/>
        <v>-255</v>
      </c>
      <c r="P82" s="112" t="s">
        <v>1562</v>
      </c>
      <c r="Q82" s="112" t="s">
        <v>1065</v>
      </c>
    </row>
    <row r="83" spans="1:20" ht="12.75" customHeight="1">
      <c r="A83" s="142" t="str">
        <f>_xlfn.XLOOKUP(B83,Summary!B:B,Summary!C:C,"")</f>
        <v>Antminer S21</v>
      </c>
      <c r="B83" s="130" t="s">
        <v>231</v>
      </c>
      <c r="C83" s="169" t="s">
        <v>1617</v>
      </c>
      <c r="D83" s="130" t="s">
        <v>1618</v>
      </c>
      <c r="E83" s="130" t="s">
        <v>1619</v>
      </c>
      <c r="F83" s="130" t="s">
        <v>1620</v>
      </c>
      <c r="G83" s="130" t="s">
        <v>1621</v>
      </c>
      <c r="H83" s="130" t="s">
        <v>1622</v>
      </c>
      <c r="I83" s="130" t="s">
        <v>1623</v>
      </c>
      <c r="J83" s="130" t="s">
        <v>1624</v>
      </c>
      <c r="K83" s="130" t="s">
        <v>1625</v>
      </c>
      <c r="L83" s="112">
        <f>_xlfn.XLOOKUP(B83,Summary!B:B,Summary!G:G)</f>
        <v>2</v>
      </c>
      <c r="M83" s="112"/>
      <c r="N83" s="112"/>
      <c r="O83" s="112" t="str">
        <f t="shared" si="2"/>
        <v>-255</v>
      </c>
      <c r="P83" s="112" t="s">
        <v>1562</v>
      </c>
      <c r="Q83" s="112" t="s">
        <v>1065</v>
      </c>
    </row>
    <row r="84" spans="1:20" ht="12.75" customHeight="1">
      <c r="A84" s="142" t="str">
        <f>_xlfn.XLOOKUP(B84,Summary!B:B,Summary!C:C,"")</f>
        <v>Antminer S21</v>
      </c>
      <c r="B84" s="130" t="s">
        <v>232</v>
      </c>
      <c r="C84" s="169" t="s">
        <v>1626</v>
      </c>
      <c r="D84" s="130" t="s">
        <v>1627</v>
      </c>
      <c r="E84" s="130" t="s">
        <v>1628</v>
      </c>
      <c r="F84" s="130" t="s">
        <v>1629</v>
      </c>
      <c r="G84" s="130" t="s">
        <v>1630</v>
      </c>
      <c r="H84" s="130" t="s">
        <v>1631</v>
      </c>
      <c r="I84" s="130" t="s">
        <v>1632</v>
      </c>
      <c r="J84" s="130" t="s">
        <v>1633</v>
      </c>
      <c r="K84" s="130" t="s">
        <v>1634</v>
      </c>
      <c r="L84" s="112">
        <f>_xlfn.XLOOKUP(B84,Summary!B:B,Summary!G:G)</f>
        <v>2</v>
      </c>
      <c r="M84" s="112"/>
      <c r="N84" s="112"/>
      <c r="O84" s="112" t="str">
        <f t="shared" si="2"/>
        <v>-255</v>
      </c>
      <c r="P84" s="112" t="s">
        <v>1562</v>
      </c>
      <c r="Q84" s="112" t="s">
        <v>1065</v>
      </c>
    </row>
    <row r="85" spans="1:20" ht="12.75" customHeight="1">
      <c r="A85" s="142" t="str">
        <f>_xlfn.XLOOKUP(B85,Summary!B:B,Summary!C:C,"")</f>
        <v>Antminer S21</v>
      </c>
      <c r="B85" s="130" t="s">
        <v>236</v>
      </c>
      <c r="C85" s="169" t="s">
        <v>1635</v>
      </c>
      <c r="D85" s="130" t="s">
        <v>1636</v>
      </c>
      <c r="E85" s="130" t="s">
        <v>1637</v>
      </c>
      <c r="F85" s="130" t="s">
        <v>1638</v>
      </c>
      <c r="G85" s="130" t="s">
        <v>1639</v>
      </c>
      <c r="H85" s="130" t="s">
        <v>1640</v>
      </c>
      <c r="I85" s="130" t="s">
        <v>1641</v>
      </c>
      <c r="J85" s="130" t="s">
        <v>1642</v>
      </c>
      <c r="K85" s="130" t="s">
        <v>1643</v>
      </c>
      <c r="L85" s="112">
        <f>_xlfn.XLOOKUP(B85,Summary!B:B,Summary!G:G)</f>
        <v>2</v>
      </c>
      <c r="M85" s="112"/>
      <c r="N85" s="112"/>
      <c r="O85" s="112" t="str">
        <f t="shared" si="2"/>
        <v>-255</v>
      </c>
      <c r="P85" s="112" t="s">
        <v>1562</v>
      </c>
      <c r="Q85" s="112" t="s">
        <v>1065</v>
      </c>
      <c r="R85" s="112"/>
      <c r="S85" s="112"/>
    </row>
    <row r="86" spans="1:20" ht="12.75" customHeight="1">
      <c r="A86" s="142" t="str">
        <f>_xlfn.XLOOKUP(B86,Summary!B:B,Summary!C:C,"")</f>
        <v>Antminer S21</v>
      </c>
      <c r="B86" s="130" t="s">
        <v>237</v>
      </c>
      <c r="C86" s="169" t="s">
        <v>1644</v>
      </c>
      <c r="D86" s="130" t="s">
        <v>1645</v>
      </c>
      <c r="E86" s="130" t="s">
        <v>1646</v>
      </c>
      <c r="F86" s="130" t="s">
        <v>1647</v>
      </c>
      <c r="G86" s="130" t="s">
        <v>1648</v>
      </c>
      <c r="H86" s="130" t="s">
        <v>1649</v>
      </c>
      <c r="I86" s="130" t="s">
        <v>1650</v>
      </c>
      <c r="J86" s="130" t="s">
        <v>1651</v>
      </c>
      <c r="K86" s="130" t="s">
        <v>1652</v>
      </c>
      <c r="L86" s="112">
        <f>_xlfn.XLOOKUP(B86,Summary!B:B,Summary!G:G)</f>
        <v>2</v>
      </c>
      <c r="M86" s="112"/>
      <c r="N86" s="126"/>
      <c r="O86" s="112" t="str">
        <f t="shared" si="2"/>
        <v>-255</v>
      </c>
      <c r="P86" s="112" t="s">
        <v>1562</v>
      </c>
      <c r="Q86" s="112" t="s">
        <v>1065</v>
      </c>
      <c r="R86" s="126"/>
      <c r="S86" s="126"/>
    </row>
    <row r="87" spans="1:20" ht="12.75" customHeight="1">
      <c r="A87" s="142" t="str">
        <f>_xlfn.XLOOKUP(B87,Summary!B:B,Summary!C:C,"")</f>
        <v>Antminer S21</v>
      </c>
      <c r="B87" s="130" t="s">
        <v>240</v>
      </c>
      <c r="C87" s="169" t="s">
        <v>1653</v>
      </c>
      <c r="D87" s="130" t="s">
        <v>1654</v>
      </c>
      <c r="E87" s="130" t="s">
        <v>1655</v>
      </c>
      <c r="F87" s="130" t="s">
        <v>1656</v>
      </c>
      <c r="G87" s="130" t="s">
        <v>1657</v>
      </c>
      <c r="H87" s="130" t="s">
        <v>1658</v>
      </c>
      <c r="I87" s="130" t="s">
        <v>1659</v>
      </c>
      <c r="J87" s="130" t="s">
        <v>1660</v>
      </c>
      <c r="K87" s="130" t="s">
        <v>1661</v>
      </c>
      <c r="L87" s="112">
        <f>_xlfn.XLOOKUP(B87,Summary!B:B,Summary!G:G)</f>
        <v>2</v>
      </c>
      <c r="M87" s="112"/>
      <c r="N87" s="112"/>
      <c r="O87" s="112" t="str">
        <f t="shared" si="2"/>
        <v>-255</v>
      </c>
      <c r="P87" s="112" t="s">
        <v>1562</v>
      </c>
      <c r="Q87" s="112" t="s">
        <v>1065</v>
      </c>
      <c r="R87" s="112"/>
      <c r="S87" s="112"/>
    </row>
    <row r="88" spans="1:20" ht="12.75" customHeight="1">
      <c r="A88" s="142" t="str">
        <f>_xlfn.XLOOKUP(B88,Summary!B:B,Summary!C:C,"")</f>
        <v>Antminer S21</v>
      </c>
      <c r="B88" s="130" t="s">
        <v>241</v>
      </c>
      <c r="C88" s="169" t="s">
        <v>1662</v>
      </c>
      <c r="D88" s="130" t="s">
        <v>1663</v>
      </c>
      <c r="E88" s="130" t="s">
        <v>1664</v>
      </c>
      <c r="F88" s="130" t="s">
        <v>1665</v>
      </c>
      <c r="G88" s="130" t="s">
        <v>1666</v>
      </c>
      <c r="H88" s="130" t="s">
        <v>1667</v>
      </c>
      <c r="I88" s="130" t="s">
        <v>1668</v>
      </c>
      <c r="J88" s="130" t="s">
        <v>1669</v>
      </c>
      <c r="K88" s="130" t="s">
        <v>1670</v>
      </c>
      <c r="L88" s="112">
        <f>_xlfn.XLOOKUP(B88,Summary!B:B,Summary!G:G)</f>
        <v>2</v>
      </c>
      <c r="M88" s="112"/>
      <c r="N88" s="112"/>
      <c r="O88" s="112" t="str">
        <f t="shared" si="2"/>
        <v>-255</v>
      </c>
      <c r="P88" s="112" t="s">
        <v>1562</v>
      </c>
      <c r="Q88" s="112" t="s">
        <v>1065</v>
      </c>
      <c r="R88" s="112"/>
      <c r="S88" s="112"/>
    </row>
    <row r="89" spans="1:20" ht="12.75" customHeight="1">
      <c r="A89" s="142" t="str">
        <f>_xlfn.XLOOKUP(B89,Summary!B:B,Summary!C:C,"")</f>
        <v>Antminer S21</v>
      </c>
      <c r="B89" s="130" t="s">
        <v>243</v>
      </c>
      <c r="C89" s="169" t="s">
        <v>1671</v>
      </c>
      <c r="D89" s="130" t="s">
        <v>1672</v>
      </c>
      <c r="E89" s="130" t="s">
        <v>1673</v>
      </c>
      <c r="F89" s="130" t="s">
        <v>1674</v>
      </c>
      <c r="G89" s="130" t="s">
        <v>1675</v>
      </c>
      <c r="H89" s="130" t="s">
        <v>1676</v>
      </c>
      <c r="I89" s="130" t="s">
        <v>1677</v>
      </c>
      <c r="J89" s="130" t="s">
        <v>1678</v>
      </c>
      <c r="K89" s="130" t="s">
        <v>1679</v>
      </c>
      <c r="L89" s="112">
        <f>_xlfn.XLOOKUP(B89,Summary!B:B,Summary!G:G)</f>
        <v>2</v>
      </c>
      <c r="M89" s="112"/>
      <c r="N89" s="112"/>
      <c r="O89" s="112" t="str">
        <f t="shared" si="2"/>
        <v>-255</v>
      </c>
      <c r="P89" s="112" t="s">
        <v>1562</v>
      </c>
      <c r="Q89" s="112" t="s">
        <v>1065</v>
      </c>
      <c r="R89" s="112"/>
      <c r="S89" s="112"/>
    </row>
    <row r="90" spans="1:20" ht="12.75" customHeight="1">
      <c r="A90" s="142" t="str">
        <f>_xlfn.XLOOKUP(B90,Summary!B:B,Summary!C:C,"")</f>
        <v>Antminer S21</v>
      </c>
      <c r="B90" s="130" t="s">
        <v>244</v>
      </c>
      <c r="C90" s="169" t="s">
        <v>1680</v>
      </c>
      <c r="D90" s="130" t="s">
        <v>1681</v>
      </c>
      <c r="E90" s="130" t="s">
        <v>1682</v>
      </c>
      <c r="F90" s="130" t="s">
        <v>1683</v>
      </c>
      <c r="G90" s="130" t="s">
        <v>1684</v>
      </c>
      <c r="H90" s="130" t="s">
        <v>1685</v>
      </c>
      <c r="I90" s="130" t="s">
        <v>1686</v>
      </c>
      <c r="J90" s="130" t="s">
        <v>1687</v>
      </c>
      <c r="K90" s="130" t="s">
        <v>1688</v>
      </c>
      <c r="L90" s="112">
        <f>_xlfn.XLOOKUP(B90,Summary!B:B,Summary!G:G)</f>
        <v>2</v>
      </c>
      <c r="M90" s="112"/>
      <c r="N90" s="112"/>
      <c r="O90" s="112" t="str">
        <f t="shared" si="2"/>
        <v>-255</v>
      </c>
      <c r="P90" s="112" t="s">
        <v>1562</v>
      </c>
      <c r="Q90" s="112" t="s">
        <v>1065</v>
      </c>
      <c r="R90" s="112"/>
      <c r="S90" s="112"/>
    </row>
    <row r="91" spans="1:20" ht="12.75" customHeight="1">
      <c r="A91" s="142" t="str">
        <f>_xlfn.XLOOKUP(B91,Summary!B:B,Summary!C:C,"")</f>
        <v>Antminer S21</v>
      </c>
      <c r="B91" s="130" t="s">
        <v>246</v>
      </c>
      <c r="C91" s="169" t="s">
        <v>1689</v>
      </c>
      <c r="D91" s="130" t="s">
        <v>1690</v>
      </c>
      <c r="E91" s="130" t="s">
        <v>1691</v>
      </c>
      <c r="F91" s="130" t="s">
        <v>1692</v>
      </c>
      <c r="G91" s="130" t="s">
        <v>1693</v>
      </c>
      <c r="H91" s="130" t="s">
        <v>1694</v>
      </c>
      <c r="I91" s="130" t="s">
        <v>1695</v>
      </c>
      <c r="J91" s="130" t="s">
        <v>1696</v>
      </c>
      <c r="K91" s="130" t="s">
        <v>1697</v>
      </c>
      <c r="L91" s="112">
        <f>_xlfn.XLOOKUP(B91,Summary!B:B,Summary!G:G)</f>
        <v>2</v>
      </c>
      <c r="M91" s="112"/>
      <c r="N91" s="112"/>
      <c r="O91" s="112" t="str">
        <f t="shared" si="2"/>
        <v>-255</v>
      </c>
      <c r="P91" s="112" t="s">
        <v>1562</v>
      </c>
      <c r="Q91" s="112" t="s">
        <v>1065</v>
      </c>
      <c r="R91" s="112"/>
      <c r="S91" s="112"/>
    </row>
    <row r="92" spans="1:20" ht="12.75" customHeight="1">
      <c r="A92" s="143" t="str">
        <f>_xlfn.XLOOKUP(B92,Summary!B:B,Summary!C:C,"")</f>
        <v>Antminer S21</v>
      </c>
      <c r="B92" s="133" t="s">
        <v>247</v>
      </c>
      <c r="C92" s="170" t="s">
        <v>1698</v>
      </c>
      <c r="D92" s="133" t="s">
        <v>1699</v>
      </c>
      <c r="E92" s="133" t="s">
        <v>1700</v>
      </c>
      <c r="F92" s="133" t="s">
        <v>1701</v>
      </c>
      <c r="G92" s="133" t="s">
        <v>1702</v>
      </c>
      <c r="H92" s="133" t="s">
        <v>1703</v>
      </c>
      <c r="I92" s="133" t="s">
        <v>1704</v>
      </c>
      <c r="J92" s="133" t="s">
        <v>1705</v>
      </c>
      <c r="K92" s="133" t="s">
        <v>1706</v>
      </c>
      <c r="L92" s="112">
        <f>_xlfn.XLOOKUP(B92,Summary!B:B,Summary!G:G)</f>
        <v>3</v>
      </c>
      <c r="M92" s="112"/>
      <c r="N92" s="112"/>
      <c r="O92" s="112" t="str">
        <f t="shared" si="2"/>
        <v>-255</v>
      </c>
      <c r="P92" s="112" t="s">
        <v>1562</v>
      </c>
      <c r="Q92" s="112" t="s">
        <v>1065</v>
      </c>
      <c r="R92" s="112"/>
      <c r="S92" s="112"/>
    </row>
    <row r="93" spans="1:20" ht="12.75" customHeight="1">
      <c r="A93" s="143" t="str">
        <f>_xlfn.XLOOKUP(B93,Summary!B:B,Summary!C:C,"")</f>
        <v>Antminer S21</v>
      </c>
      <c r="B93" s="133" t="s">
        <v>252</v>
      </c>
      <c r="C93" s="170" t="s">
        <v>1707</v>
      </c>
      <c r="D93" s="133" t="s">
        <v>1708</v>
      </c>
      <c r="E93" s="133" t="s">
        <v>1709</v>
      </c>
      <c r="F93" s="133" t="s">
        <v>1710</v>
      </c>
      <c r="G93" s="133" t="s">
        <v>1711</v>
      </c>
      <c r="H93" s="133" t="s">
        <v>1712</v>
      </c>
      <c r="I93" s="133" t="s">
        <v>1713</v>
      </c>
      <c r="J93" s="133" t="s">
        <v>1714</v>
      </c>
      <c r="K93" s="133" t="s">
        <v>1715</v>
      </c>
      <c r="L93" s="112">
        <f>_xlfn.XLOOKUP(B93,Summary!B:B,Summary!G:G)</f>
        <v>3</v>
      </c>
      <c r="M93" s="112"/>
      <c r="N93" s="112"/>
      <c r="O93" s="112" t="str">
        <f t="shared" si="2"/>
        <v>-255</v>
      </c>
      <c r="P93" s="112" t="s">
        <v>1562</v>
      </c>
      <c r="Q93" s="112" t="s">
        <v>1065</v>
      </c>
      <c r="R93" s="112"/>
      <c r="S93" s="112"/>
      <c r="T93" s="112"/>
    </row>
    <row r="94" spans="1:20" ht="12.75" customHeight="1">
      <c r="A94" s="143" t="str">
        <f>_xlfn.XLOOKUP(B94,Summary!B:B,Summary!C:C,"")</f>
        <v>Antminer S21</v>
      </c>
      <c r="B94" s="133" t="s">
        <v>253</v>
      </c>
      <c r="C94" s="170" t="s">
        <v>1716</v>
      </c>
      <c r="D94" s="133" t="s">
        <v>1717</v>
      </c>
      <c r="E94" s="133" t="s">
        <v>1718</v>
      </c>
      <c r="F94" s="133" t="s">
        <v>1719</v>
      </c>
      <c r="G94" s="133" t="s">
        <v>1720</v>
      </c>
      <c r="H94" s="133" t="s">
        <v>1721</v>
      </c>
      <c r="I94" s="133" t="s">
        <v>1722</v>
      </c>
      <c r="J94" s="133" t="s">
        <v>1723</v>
      </c>
      <c r="K94" s="133" t="s">
        <v>1724</v>
      </c>
      <c r="L94" s="112">
        <f>_xlfn.XLOOKUP(B94,Summary!B:B,Summary!G:G)</f>
        <v>3</v>
      </c>
      <c r="M94" s="112"/>
      <c r="N94" s="112"/>
      <c r="O94" s="112" t="str">
        <f t="shared" si="2"/>
        <v>-255</v>
      </c>
      <c r="P94" s="112" t="s">
        <v>1562</v>
      </c>
      <c r="Q94" s="112" t="s">
        <v>1065</v>
      </c>
      <c r="R94" s="112"/>
      <c r="S94" s="112"/>
      <c r="T94" s="112"/>
    </row>
    <row r="95" spans="1:20" ht="12.75" customHeight="1">
      <c r="A95" s="143" t="str">
        <f>_xlfn.XLOOKUP(B95,Summary!B:B,Summary!C:C,"")</f>
        <v>Antminer S21</v>
      </c>
      <c r="B95" s="133" t="s">
        <v>256</v>
      </c>
      <c r="C95" s="170" t="s">
        <v>1725</v>
      </c>
      <c r="D95" s="133" t="s">
        <v>1726</v>
      </c>
      <c r="E95" s="133" t="s">
        <v>1727</v>
      </c>
      <c r="F95" s="133" t="s">
        <v>1728</v>
      </c>
      <c r="G95" s="133" t="s">
        <v>1729</v>
      </c>
      <c r="H95" s="133" t="s">
        <v>1730</v>
      </c>
      <c r="I95" s="133" t="s">
        <v>1731</v>
      </c>
      <c r="J95" s="133" t="s">
        <v>1732</v>
      </c>
      <c r="K95" s="133" t="s">
        <v>1733</v>
      </c>
      <c r="L95" s="112">
        <f>_xlfn.XLOOKUP(B95,Summary!B:B,Summary!G:G)</f>
        <v>3</v>
      </c>
      <c r="M95" s="112"/>
      <c r="N95" s="112"/>
      <c r="O95" s="112" t="str">
        <f t="shared" ref="O95:O158" si="3">N95&amp;"-255"</f>
        <v>-255</v>
      </c>
      <c r="P95" s="112" t="s">
        <v>1562</v>
      </c>
      <c r="Q95" s="112" t="s">
        <v>1065</v>
      </c>
      <c r="R95" s="112"/>
      <c r="S95" s="112"/>
      <c r="T95" s="112"/>
    </row>
    <row r="96" spans="1:20" ht="12.75" customHeight="1">
      <c r="A96" s="143" t="str">
        <f>_xlfn.XLOOKUP(B96,Summary!B:B,Summary!C:C,"")</f>
        <v>Antminer S21</v>
      </c>
      <c r="B96" s="133" t="s">
        <v>257</v>
      </c>
      <c r="C96" s="170" t="s">
        <v>1734</v>
      </c>
      <c r="D96" s="133" t="s">
        <v>1735</v>
      </c>
      <c r="E96" s="133" t="s">
        <v>1736</v>
      </c>
      <c r="F96" s="133" t="s">
        <v>1737</v>
      </c>
      <c r="G96" s="133" t="s">
        <v>1738</v>
      </c>
      <c r="H96" s="133" t="s">
        <v>1739</v>
      </c>
      <c r="I96" s="133" t="s">
        <v>1740</v>
      </c>
      <c r="J96" s="133" t="s">
        <v>1741</v>
      </c>
      <c r="K96" s="133" t="s">
        <v>1742</v>
      </c>
      <c r="L96" s="112">
        <f>_xlfn.XLOOKUP(B96,Summary!B:B,Summary!G:G)</f>
        <v>3</v>
      </c>
      <c r="M96" s="112"/>
      <c r="N96" s="112"/>
      <c r="O96" s="112" t="str">
        <f t="shared" si="3"/>
        <v>-255</v>
      </c>
      <c r="P96" s="112" t="s">
        <v>1562</v>
      </c>
      <c r="Q96" s="112" t="s">
        <v>1065</v>
      </c>
      <c r="R96" s="112"/>
      <c r="S96" s="112"/>
      <c r="T96" s="112"/>
    </row>
    <row r="97" spans="1:20" ht="12.75" customHeight="1">
      <c r="A97" s="143" t="str">
        <f>_xlfn.XLOOKUP(B97,Summary!B:B,Summary!C:C,"")</f>
        <v>Antminer S21</v>
      </c>
      <c r="B97" s="133" t="s">
        <v>260</v>
      </c>
      <c r="C97" s="170" t="s">
        <v>1743</v>
      </c>
      <c r="D97" s="133" t="s">
        <v>1744</v>
      </c>
      <c r="E97" s="133" t="s">
        <v>1745</v>
      </c>
      <c r="F97" s="133" t="s">
        <v>1746</v>
      </c>
      <c r="G97" s="133" t="s">
        <v>1747</v>
      </c>
      <c r="H97" s="133" t="s">
        <v>1748</v>
      </c>
      <c r="I97" s="133" t="s">
        <v>1749</v>
      </c>
      <c r="J97" s="133" t="s">
        <v>1750</v>
      </c>
      <c r="K97" s="133" t="s">
        <v>1751</v>
      </c>
      <c r="L97" s="112">
        <f>_xlfn.XLOOKUP(B97,Summary!B:B,Summary!G:G)</f>
        <v>3</v>
      </c>
      <c r="M97" s="112"/>
      <c r="N97" s="112"/>
      <c r="O97" s="112" t="str">
        <f t="shared" si="3"/>
        <v>-255</v>
      </c>
      <c r="P97" s="112" t="s">
        <v>1562</v>
      </c>
      <c r="Q97" s="112" t="s">
        <v>1065</v>
      </c>
      <c r="R97" s="112"/>
      <c r="S97" s="112"/>
      <c r="T97" s="112"/>
    </row>
    <row r="98" spans="1:20" ht="12.75" customHeight="1">
      <c r="A98" s="143" t="str">
        <f>_xlfn.XLOOKUP(B98,Summary!B:B,Summary!C:C,"")</f>
        <v>Antminer S21</v>
      </c>
      <c r="B98" s="133" t="s">
        <v>261</v>
      </c>
      <c r="C98" s="170" t="s">
        <v>1752</v>
      </c>
      <c r="D98" s="133" t="s">
        <v>1753</v>
      </c>
      <c r="E98" s="133" t="s">
        <v>1754</v>
      </c>
      <c r="F98" s="133" t="s">
        <v>1755</v>
      </c>
      <c r="G98" s="133" t="s">
        <v>1756</v>
      </c>
      <c r="H98" s="133" t="s">
        <v>1757</v>
      </c>
      <c r="I98" s="133" t="s">
        <v>1758</v>
      </c>
      <c r="J98" s="133" t="s">
        <v>1759</v>
      </c>
      <c r="K98" s="133" t="s">
        <v>1760</v>
      </c>
      <c r="L98" s="112">
        <f>_xlfn.XLOOKUP(B98,Summary!B:B,Summary!G:G)</f>
        <v>3</v>
      </c>
      <c r="M98" s="112"/>
      <c r="N98" s="112"/>
      <c r="O98" s="112" t="str">
        <f t="shared" si="3"/>
        <v>-255</v>
      </c>
      <c r="P98" s="112" t="s">
        <v>1562</v>
      </c>
      <c r="Q98" s="112" t="s">
        <v>1065</v>
      </c>
      <c r="R98" s="112"/>
      <c r="S98" s="112"/>
      <c r="T98" s="112"/>
    </row>
    <row r="99" spans="1:20" ht="12.75" customHeight="1">
      <c r="A99" s="143" t="str">
        <f>_xlfn.XLOOKUP(B99,Summary!B:B,Summary!C:C,"")</f>
        <v>Antminer S21</v>
      </c>
      <c r="B99" s="133" t="s">
        <v>264</v>
      </c>
      <c r="C99" s="170" t="s">
        <v>1761</v>
      </c>
      <c r="D99" s="133" t="s">
        <v>1762</v>
      </c>
      <c r="E99" s="133" t="s">
        <v>1763</v>
      </c>
      <c r="F99" s="133" t="s">
        <v>1764</v>
      </c>
      <c r="G99" s="133" t="s">
        <v>1765</v>
      </c>
      <c r="H99" s="133" t="s">
        <v>1766</v>
      </c>
      <c r="I99" s="133" t="s">
        <v>1767</v>
      </c>
      <c r="J99" s="133" t="s">
        <v>1768</v>
      </c>
      <c r="K99" s="133" t="s">
        <v>1769</v>
      </c>
      <c r="L99" s="112">
        <f>_xlfn.XLOOKUP(B99,Summary!B:B,Summary!G:G)</f>
        <v>3</v>
      </c>
      <c r="M99" s="112"/>
      <c r="N99" s="112"/>
      <c r="O99" s="112" t="str">
        <f t="shared" si="3"/>
        <v>-255</v>
      </c>
      <c r="P99" s="112" t="s">
        <v>1562</v>
      </c>
      <c r="Q99" s="112" t="s">
        <v>1065</v>
      </c>
      <c r="R99" s="112"/>
      <c r="S99" s="112"/>
      <c r="T99" s="112"/>
    </row>
    <row r="100" spans="1:20" ht="12.75" customHeight="1">
      <c r="A100" s="143" t="str">
        <f>_xlfn.XLOOKUP(B100,Summary!B:B,Summary!C:C,"")</f>
        <v>Antminer S21</v>
      </c>
      <c r="B100" s="133" t="s">
        <v>265</v>
      </c>
      <c r="C100" s="170" t="s">
        <v>1770</v>
      </c>
      <c r="D100" s="133" t="s">
        <v>1771</v>
      </c>
      <c r="E100" s="133" t="s">
        <v>1772</v>
      </c>
      <c r="F100" s="133" t="s">
        <v>1773</v>
      </c>
      <c r="G100" s="133" t="s">
        <v>1774</v>
      </c>
      <c r="H100" s="133" t="s">
        <v>1775</v>
      </c>
      <c r="I100" s="133" t="s">
        <v>1776</v>
      </c>
      <c r="J100" s="133" t="s">
        <v>1777</v>
      </c>
      <c r="K100" s="133" t="s">
        <v>1778</v>
      </c>
      <c r="L100" s="112">
        <f>_xlfn.XLOOKUP(B100,Summary!B:B,Summary!G:G)</f>
        <v>3</v>
      </c>
      <c r="M100" s="112"/>
      <c r="N100" s="112"/>
      <c r="O100" s="112" t="str">
        <f t="shared" si="3"/>
        <v>-255</v>
      </c>
      <c r="P100" s="112" t="s">
        <v>1562</v>
      </c>
      <c r="Q100" s="112" t="s">
        <v>1065</v>
      </c>
      <c r="R100" s="112"/>
      <c r="S100" s="112"/>
      <c r="T100" s="112"/>
    </row>
    <row r="101" spans="1:20" ht="12.75" customHeight="1">
      <c r="A101" s="143" t="str">
        <f>_xlfn.XLOOKUP(B101,Summary!B:B,Summary!C:C,"")</f>
        <v>Antminer S21</v>
      </c>
      <c r="B101" s="133" t="s">
        <v>267</v>
      </c>
      <c r="C101" s="170" t="s">
        <v>1779</v>
      </c>
      <c r="D101" s="133" t="s">
        <v>1780</v>
      </c>
      <c r="E101" s="133" t="s">
        <v>1781</v>
      </c>
      <c r="F101" s="133" t="s">
        <v>1782</v>
      </c>
      <c r="G101" s="133" t="s">
        <v>1783</v>
      </c>
      <c r="H101" s="133" t="s">
        <v>1784</v>
      </c>
      <c r="I101" s="133" t="s">
        <v>1785</v>
      </c>
      <c r="J101" s="133" t="s">
        <v>1786</v>
      </c>
      <c r="K101" s="133" t="s">
        <v>1787</v>
      </c>
      <c r="L101" s="112">
        <f>_xlfn.XLOOKUP(B101,Summary!B:B,Summary!G:G)</f>
        <v>3</v>
      </c>
      <c r="M101" s="112"/>
      <c r="N101" s="112"/>
      <c r="O101" s="112" t="str">
        <f t="shared" si="3"/>
        <v>-255</v>
      </c>
      <c r="P101" s="112" t="s">
        <v>1562</v>
      </c>
      <c r="Q101" s="112" t="s">
        <v>1065</v>
      </c>
      <c r="R101" s="112"/>
      <c r="S101" s="112"/>
      <c r="T101" s="112"/>
    </row>
    <row r="102" spans="1:20" ht="12.75" customHeight="1">
      <c r="A102" s="143" t="str">
        <f>_xlfn.XLOOKUP(B102,Summary!B:B,Summary!C:C,"")</f>
        <v>Antminer S21</v>
      </c>
      <c r="B102" s="133" t="s">
        <v>268</v>
      </c>
      <c r="C102" s="170" t="s">
        <v>1788</v>
      </c>
      <c r="D102" s="133" t="s">
        <v>1789</v>
      </c>
      <c r="E102" s="133" t="s">
        <v>1790</v>
      </c>
      <c r="F102" s="133" t="s">
        <v>1791</v>
      </c>
      <c r="G102" s="133" t="s">
        <v>1792</v>
      </c>
      <c r="H102" s="133" t="s">
        <v>1793</v>
      </c>
      <c r="I102" s="133" t="s">
        <v>1794</v>
      </c>
      <c r="J102" s="133" t="s">
        <v>1795</v>
      </c>
      <c r="K102" s="133" t="s">
        <v>1796</v>
      </c>
      <c r="L102" s="112">
        <f>_xlfn.XLOOKUP(B102,Summary!B:B,Summary!G:G)</f>
        <v>3</v>
      </c>
      <c r="M102" s="112"/>
      <c r="N102" s="112"/>
      <c r="O102" s="112" t="str">
        <f t="shared" si="3"/>
        <v>-255</v>
      </c>
      <c r="P102" s="112" t="s">
        <v>1562</v>
      </c>
      <c r="Q102" s="112" t="s">
        <v>1065</v>
      </c>
      <c r="R102" s="112"/>
      <c r="S102" s="112"/>
      <c r="T102" s="112"/>
    </row>
    <row r="103" spans="1:20" ht="12.75" customHeight="1">
      <c r="A103" s="143" t="str">
        <f>_xlfn.XLOOKUP(B103,Summary!B:B,Summary!C:C,"")</f>
        <v>Antminer S21</v>
      </c>
      <c r="B103" s="133" t="s">
        <v>271</v>
      </c>
      <c r="C103" s="170" t="s">
        <v>1797</v>
      </c>
      <c r="D103" s="133" t="s">
        <v>1798</v>
      </c>
      <c r="E103" s="133" t="s">
        <v>1799</v>
      </c>
      <c r="F103" s="133" t="s">
        <v>1800</v>
      </c>
      <c r="G103" s="133" t="s">
        <v>1801</v>
      </c>
      <c r="H103" s="133" t="s">
        <v>1802</v>
      </c>
      <c r="I103" s="133" t="s">
        <v>1803</v>
      </c>
      <c r="J103" s="133" t="s">
        <v>1804</v>
      </c>
      <c r="K103" s="133" t="s">
        <v>1805</v>
      </c>
      <c r="L103" s="112">
        <f>_xlfn.XLOOKUP(B103,Summary!B:B,Summary!G:G)</f>
        <v>3</v>
      </c>
      <c r="M103" s="112"/>
      <c r="N103" s="112"/>
      <c r="O103" s="112" t="str">
        <f t="shared" si="3"/>
        <v>-255</v>
      </c>
      <c r="P103" s="112" t="s">
        <v>1562</v>
      </c>
      <c r="Q103" s="112" t="s">
        <v>1065</v>
      </c>
      <c r="R103" s="112"/>
      <c r="S103" s="112"/>
      <c r="T103" s="112"/>
    </row>
    <row r="104" spans="1:20" ht="12.75" customHeight="1">
      <c r="A104" s="143" t="str">
        <f>_xlfn.XLOOKUP(B104,Summary!B:B,Summary!C:C,"")</f>
        <v>Antminer S21</v>
      </c>
      <c r="B104" s="133" t="s">
        <v>272</v>
      </c>
      <c r="C104" s="170" t="s">
        <v>1806</v>
      </c>
      <c r="D104" s="133" t="s">
        <v>1807</v>
      </c>
      <c r="E104" s="133" t="s">
        <v>1808</v>
      </c>
      <c r="F104" s="133" t="s">
        <v>1809</v>
      </c>
      <c r="G104" s="133" t="s">
        <v>1810</v>
      </c>
      <c r="H104" s="133" t="s">
        <v>1811</v>
      </c>
      <c r="I104" s="133" t="s">
        <v>1812</v>
      </c>
      <c r="J104" s="133" t="s">
        <v>1813</v>
      </c>
      <c r="K104" s="133" t="s">
        <v>1814</v>
      </c>
      <c r="L104" s="112">
        <f>_xlfn.XLOOKUP(B104,Summary!B:B,Summary!G:G)</f>
        <v>3</v>
      </c>
      <c r="M104" s="112"/>
      <c r="N104" s="112"/>
      <c r="O104" s="112" t="str">
        <f t="shared" si="3"/>
        <v>-255</v>
      </c>
      <c r="P104" s="112" t="s">
        <v>1562</v>
      </c>
      <c r="Q104" s="112" t="s">
        <v>1065</v>
      </c>
      <c r="R104" s="112"/>
      <c r="S104" s="112"/>
      <c r="T104" s="112"/>
    </row>
    <row r="105" spans="1:20" ht="12.75" customHeight="1">
      <c r="A105" s="143" t="str">
        <f>_xlfn.XLOOKUP(B105,Summary!B:B,Summary!C:C,"")</f>
        <v>Antminer S21</v>
      </c>
      <c r="B105" s="133" t="s">
        <v>275</v>
      </c>
      <c r="C105" s="170" t="s">
        <v>1815</v>
      </c>
      <c r="D105" s="133" t="s">
        <v>1816</v>
      </c>
      <c r="E105" s="133" t="s">
        <v>1817</v>
      </c>
      <c r="F105" s="133" t="s">
        <v>1818</v>
      </c>
      <c r="G105" s="133" t="s">
        <v>1819</v>
      </c>
      <c r="H105" s="133" t="s">
        <v>1820</v>
      </c>
      <c r="I105" s="133" t="s">
        <v>1821</v>
      </c>
      <c r="J105" s="133" t="s">
        <v>1822</v>
      </c>
      <c r="K105" s="133" t="s">
        <v>1823</v>
      </c>
      <c r="L105" s="112">
        <f>_xlfn.XLOOKUP(B105,Summary!B:B,Summary!G:G)</f>
        <v>3</v>
      </c>
      <c r="M105" s="112"/>
      <c r="N105" s="112"/>
      <c r="O105" s="112" t="str">
        <f t="shared" si="3"/>
        <v>-255</v>
      </c>
      <c r="P105" s="112" t="s">
        <v>1562</v>
      </c>
      <c r="Q105" s="112" t="s">
        <v>1065</v>
      </c>
      <c r="R105" s="112"/>
      <c r="S105" s="112"/>
      <c r="T105" s="112"/>
    </row>
    <row r="106" spans="1:20" ht="12.75" customHeight="1">
      <c r="A106" s="143" t="str">
        <f>_xlfn.XLOOKUP(B106,Summary!B:B,Summary!C:C,"")</f>
        <v>Antminer S21</v>
      </c>
      <c r="B106" s="133" t="s">
        <v>276</v>
      </c>
      <c r="C106" s="170" t="s">
        <v>1824</v>
      </c>
      <c r="D106" s="133" t="s">
        <v>1825</v>
      </c>
      <c r="E106" s="133" t="s">
        <v>1826</v>
      </c>
      <c r="F106" s="133" t="s">
        <v>1827</v>
      </c>
      <c r="G106" s="133" t="s">
        <v>1828</v>
      </c>
      <c r="H106" s="133" t="s">
        <v>1829</v>
      </c>
      <c r="I106" s="133" t="s">
        <v>1830</v>
      </c>
      <c r="J106" s="133" t="s">
        <v>1831</v>
      </c>
      <c r="K106" s="133" t="s">
        <v>1832</v>
      </c>
      <c r="L106" s="112">
        <f>_xlfn.XLOOKUP(B106,Summary!B:B,Summary!G:G)</f>
        <v>3</v>
      </c>
      <c r="M106" s="112"/>
      <c r="N106" s="112"/>
      <c r="O106" s="112" t="str">
        <f t="shared" si="3"/>
        <v>-255</v>
      </c>
      <c r="P106" s="112" t="s">
        <v>1562</v>
      </c>
      <c r="Q106" s="112" t="s">
        <v>1065</v>
      </c>
      <c r="R106" s="112"/>
      <c r="S106" s="112"/>
      <c r="T106" s="112"/>
    </row>
    <row r="107" spans="1:20" ht="12.75" customHeight="1">
      <c r="A107" s="143" t="str">
        <f>_xlfn.XLOOKUP(B107,Summary!B:B,Summary!C:C,"")</f>
        <v>Antminer S21</v>
      </c>
      <c r="B107" s="133" t="s">
        <v>279</v>
      </c>
      <c r="C107" s="170" t="s">
        <v>1833</v>
      </c>
      <c r="D107" s="133" t="s">
        <v>1834</v>
      </c>
      <c r="E107" s="133" t="s">
        <v>1835</v>
      </c>
      <c r="F107" s="133" t="s">
        <v>1836</v>
      </c>
      <c r="G107" s="133" t="s">
        <v>1837</v>
      </c>
      <c r="H107" s="133" t="s">
        <v>1838</v>
      </c>
      <c r="I107" s="133" t="s">
        <v>1839</v>
      </c>
      <c r="J107" s="133" t="s">
        <v>1840</v>
      </c>
      <c r="K107" s="133" t="s">
        <v>1841</v>
      </c>
      <c r="L107" s="112">
        <f>_xlfn.XLOOKUP(B107,Summary!B:B,Summary!G:G)</f>
        <v>3</v>
      </c>
      <c r="M107" s="112"/>
      <c r="N107" s="112"/>
      <c r="O107" s="112" t="str">
        <f t="shared" si="3"/>
        <v>-255</v>
      </c>
      <c r="P107" s="112" t="s">
        <v>1562</v>
      </c>
      <c r="Q107" s="112" t="s">
        <v>1065</v>
      </c>
      <c r="R107" s="112"/>
      <c r="S107" s="112"/>
      <c r="T107" s="112"/>
    </row>
    <row r="108" spans="1:20" ht="12.75" customHeight="1">
      <c r="A108" s="143" t="str">
        <f>_xlfn.XLOOKUP(B108,Summary!B:B,Summary!C:C,"")</f>
        <v>Antminer S21</v>
      </c>
      <c r="B108" s="133" t="s">
        <v>280</v>
      </c>
      <c r="C108" s="170" t="s">
        <v>1842</v>
      </c>
      <c r="D108" s="133" t="s">
        <v>1843</v>
      </c>
      <c r="E108" s="133" t="s">
        <v>1844</v>
      </c>
      <c r="F108" s="133" t="s">
        <v>1845</v>
      </c>
      <c r="G108" s="133" t="s">
        <v>1846</v>
      </c>
      <c r="H108" s="133" t="s">
        <v>1847</v>
      </c>
      <c r="I108" s="133" t="s">
        <v>1848</v>
      </c>
      <c r="J108" s="133" t="s">
        <v>1849</v>
      </c>
      <c r="K108" s="133" t="s">
        <v>1850</v>
      </c>
      <c r="L108" s="112">
        <f>_xlfn.XLOOKUP(B108,Summary!B:B,Summary!G:G)</f>
        <v>3</v>
      </c>
      <c r="M108" s="112"/>
      <c r="N108" s="112"/>
      <c r="O108" s="112" t="str">
        <f>N108&amp;"-255"</f>
        <v>-255</v>
      </c>
      <c r="P108" s="112" t="s">
        <v>1562</v>
      </c>
      <c r="Q108" s="112" t="s">
        <v>1065</v>
      </c>
      <c r="R108" s="112"/>
      <c r="S108" s="112"/>
      <c r="T108" s="112"/>
    </row>
    <row r="109" spans="1:20" ht="12.75" customHeight="1">
      <c r="A109" s="143" t="str">
        <f>_xlfn.XLOOKUP(B109,Summary!B:B,Summary!C:C,"")</f>
        <v>Antminer S21</v>
      </c>
      <c r="B109" s="133" t="s">
        <v>283</v>
      </c>
      <c r="C109" s="170" t="s">
        <v>1851</v>
      </c>
      <c r="D109" s="133" t="s">
        <v>1852</v>
      </c>
      <c r="E109" s="133" t="s">
        <v>1853</v>
      </c>
      <c r="F109" s="133" t="s">
        <v>1854</v>
      </c>
      <c r="G109" s="133" t="s">
        <v>1855</v>
      </c>
      <c r="H109" s="133" t="s">
        <v>1856</v>
      </c>
      <c r="I109" s="133" t="s">
        <v>1857</v>
      </c>
      <c r="J109" s="133" t="s">
        <v>1858</v>
      </c>
      <c r="K109" s="133" t="s">
        <v>1859</v>
      </c>
      <c r="L109" s="112">
        <f>_xlfn.XLOOKUP(B109,Summary!B:B,Summary!G:G)</f>
        <v>3</v>
      </c>
      <c r="M109" s="112"/>
      <c r="N109" s="112"/>
      <c r="O109" s="112" t="str">
        <f t="shared" si="3"/>
        <v>-255</v>
      </c>
      <c r="P109" s="112" t="s">
        <v>1562</v>
      </c>
      <c r="Q109" s="112" t="s">
        <v>1065</v>
      </c>
      <c r="R109" s="112"/>
      <c r="S109" s="112"/>
      <c r="T109" s="112"/>
    </row>
    <row r="110" spans="1:20" ht="12.75" customHeight="1">
      <c r="A110" s="143" t="str">
        <f>_xlfn.XLOOKUP(B110,Summary!B:B,Summary!C:C,"")</f>
        <v>Antminer S21</v>
      </c>
      <c r="B110" s="133" t="s">
        <v>284</v>
      </c>
      <c r="C110" s="170" t="s">
        <v>1860</v>
      </c>
      <c r="D110" s="133" t="s">
        <v>1861</v>
      </c>
      <c r="E110" s="133" t="s">
        <v>1862</v>
      </c>
      <c r="F110" s="133" t="s">
        <v>1863</v>
      </c>
      <c r="G110" s="133" t="s">
        <v>1864</v>
      </c>
      <c r="H110" s="133" t="s">
        <v>1865</v>
      </c>
      <c r="I110" s="133" t="s">
        <v>1866</v>
      </c>
      <c r="J110" s="133" t="s">
        <v>1867</v>
      </c>
      <c r="K110" s="133" t="s">
        <v>1868</v>
      </c>
      <c r="L110" s="112">
        <f>_xlfn.XLOOKUP(B110,Summary!B:B,Summary!G:G)</f>
        <v>3</v>
      </c>
      <c r="M110" s="112"/>
      <c r="N110" s="112"/>
      <c r="O110" s="112" t="str">
        <f t="shared" si="3"/>
        <v>-255</v>
      </c>
      <c r="P110" s="112" t="s">
        <v>1562</v>
      </c>
      <c r="Q110" s="112" t="s">
        <v>1065</v>
      </c>
      <c r="R110" s="112"/>
      <c r="S110" s="112"/>
      <c r="T110" s="112"/>
    </row>
    <row r="111" spans="1:20" ht="12.75" customHeight="1">
      <c r="A111" s="143" t="str">
        <f>_xlfn.XLOOKUP(B111,Summary!B:B,Summary!C:C,"")</f>
        <v>Antminer S21</v>
      </c>
      <c r="B111" s="133" t="s">
        <v>287</v>
      </c>
      <c r="C111" s="170" t="s">
        <v>1869</v>
      </c>
      <c r="D111" s="133" t="s">
        <v>1870</v>
      </c>
      <c r="E111" s="133" t="s">
        <v>1871</v>
      </c>
      <c r="F111" s="133" t="s">
        <v>1872</v>
      </c>
      <c r="G111" s="133" t="s">
        <v>1873</v>
      </c>
      <c r="H111" s="133" t="s">
        <v>1874</v>
      </c>
      <c r="I111" s="133" t="s">
        <v>1875</v>
      </c>
      <c r="J111" s="133" t="s">
        <v>1876</v>
      </c>
      <c r="K111" s="133" t="s">
        <v>1877</v>
      </c>
      <c r="L111" s="112">
        <f>_xlfn.XLOOKUP(B111,Summary!B:B,Summary!G:G)</f>
        <v>3</v>
      </c>
      <c r="M111" s="112"/>
      <c r="N111" s="112"/>
      <c r="O111" s="112" t="str">
        <f t="shared" si="3"/>
        <v>-255</v>
      </c>
      <c r="P111" s="112" t="s">
        <v>1562</v>
      </c>
      <c r="Q111" s="112" t="s">
        <v>1065</v>
      </c>
      <c r="R111" s="112"/>
      <c r="S111" s="112"/>
      <c r="T111" s="112"/>
    </row>
    <row r="112" spans="1:20" ht="12.75" customHeight="1">
      <c r="A112" s="143" t="str">
        <f>_xlfn.XLOOKUP(B112,Summary!B:B,Summary!C:C,"")</f>
        <v>Antminer S21</v>
      </c>
      <c r="B112" s="133" t="s">
        <v>288</v>
      </c>
      <c r="C112" s="170" t="s">
        <v>1878</v>
      </c>
      <c r="D112" s="133" t="s">
        <v>1879</v>
      </c>
      <c r="E112" s="133" t="s">
        <v>1880</v>
      </c>
      <c r="F112" s="133" t="s">
        <v>1881</v>
      </c>
      <c r="G112" s="133" t="s">
        <v>1882</v>
      </c>
      <c r="H112" s="133" t="s">
        <v>1883</v>
      </c>
      <c r="I112" s="133" t="s">
        <v>1884</v>
      </c>
      <c r="J112" s="133" t="s">
        <v>1885</v>
      </c>
      <c r="K112" s="133" t="s">
        <v>1886</v>
      </c>
      <c r="L112" s="112">
        <f>_xlfn.XLOOKUP(B112,Summary!B:B,Summary!G:G)</f>
        <v>3</v>
      </c>
      <c r="M112" s="112"/>
      <c r="N112" s="112"/>
      <c r="O112" s="112" t="str">
        <f t="shared" si="3"/>
        <v>-255</v>
      </c>
      <c r="P112" s="112" t="s">
        <v>1562</v>
      </c>
      <c r="Q112" s="112" t="s">
        <v>1065</v>
      </c>
      <c r="R112" s="112"/>
      <c r="S112" s="112"/>
      <c r="T112" s="112"/>
    </row>
    <row r="113" spans="1:20" ht="12.75" customHeight="1">
      <c r="A113" s="143" t="str">
        <f>_xlfn.XLOOKUP(B113,Summary!B:B,Summary!C:C,"")</f>
        <v>Antminer S21</v>
      </c>
      <c r="B113" s="133" t="s">
        <v>291</v>
      </c>
      <c r="C113" s="170" t="s">
        <v>1887</v>
      </c>
      <c r="D113" s="133" t="s">
        <v>1888</v>
      </c>
      <c r="E113" s="133" t="s">
        <v>1889</v>
      </c>
      <c r="F113" s="133" t="s">
        <v>1890</v>
      </c>
      <c r="G113" s="133" t="s">
        <v>1891</v>
      </c>
      <c r="H113" s="133" t="s">
        <v>1892</v>
      </c>
      <c r="I113" s="133" t="s">
        <v>1893</v>
      </c>
      <c r="J113" s="133" t="s">
        <v>1894</v>
      </c>
      <c r="K113" s="133" t="s">
        <v>1895</v>
      </c>
      <c r="L113" s="112">
        <f>_xlfn.XLOOKUP(B113,Summary!B:B,Summary!G:G)</f>
        <v>3</v>
      </c>
      <c r="M113" s="112"/>
      <c r="N113" s="112"/>
      <c r="O113" s="112" t="str">
        <f t="shared" si="3"/>
        <v>-255</v>
      </c>
      <c r="P113" s="112" t="s">
        <v>1562</v>
      </c>
      <c r="Q113" s="112" t="s">
        <v>1065</v>
      </c>
      <c r="R113" s="112"/>
      <c r="S113" s="112"/>
      <c r="T113" s="112"/>
    </row>
    <row r="114" spans="1:20" ht="12.75" customHeight="1">
      <c r="A114" s="143" t="str">
        <f>_xlfn.XLOOKUP(B114,Summary!B:B,Summary!C:C,"")</f>
        <v>Antminer S21</v>
      </c>
      <c r="B114" s="133" t="s">
        <v>292</v>
      </c>
      <c r="C114" s="170" t="s">
        <v>1896</v>
      </c>
      <c r="D114" s="133" t="s">
        <v>1897</v>
      </c>
      <c r="E114" s="133" t="s">
        <v>1898</v>
      </c>
      <c r="F114" s="133" t="s">
        <v>1899</v>
      </c>
      <c r="G114" s="133" t="s">
        <v>1900</v>
      </c>
      <c r="H114" s="133" t="s">
        <v>1901</v>
      </c>
      <c r="I114" s="133" t="s">
        <v>1902</v>
      </c>
      <c r="J114" s="133" t="s">
        <v>1903</v>
      </c>
      <c r="K114" s="133" t="s">
        <v>1904</v>
      </c>
      <c r="L114" s="112">
        <f>_xlfn.XLOOKUP(B114,Summary!B:B,Summary!G:G)</f>
        <v>3</v>
      </c>
      <c r="M114" s="112"/>
      <c r="N114" s="112"/>
      <c r="O114" s="112" t="str">
        <f t="shared" si="3"/>
        <v>-255</v>
      </c>
      <c r="P114" s="112" t="s">
        <v>1562</v>
      </c>
      <c r="Q114" s="112" t="s">
        <v>1065</v>
      </c>
      <c r="R114" s="112"/>
      <c r="S114" s="112"/>
      <c r="T114" s="112"/>
    </row>
    <row r="115" spans="1:20" ht="12.75" customHeight="1">
      <c r="A115" s="143" t="str">
        <f>_xlfn.XLOOKUP(B115,Summary!B:B,Summary!C:C,"")</f>
        <v>Antminer S21</v>
      </c>
      <c r="B115" s="133" t="s">
        <v>294</v>
      </c>
      <c r="C115" s="170" t="s">
        <v>1905</v>
      </c>
      <c r="D115" s="133" t="s">
        <v>1906</v>
      </c>
      <c r="E115" s="133" t="s">
        <v>1907</v>
      </c>
      <c r="F115" s="133" t="s">
        <v>1908</v>
      </c>
      <c r="G115" s="133" t="s">
        <v>1909</v>
      </c>
      <c r="H115" s="133" t="s">
        <v>1910</v>
      </c>
      <c r="I115" s="133" t="s">
        <v>1911</v>
      </c>
      <c r="J115" s="133" t="s">
        <v>1912</v>
      </c>
      <c r="K115" s="133" t="s">
        <v>1913</v>
      </c>
      <c r="L115" s="112">
        <f>_xlfn.XLOOKUP(B115,Summary!B:B,Summary!G:G)</f>
        <v>3</v>
      </c>
      <c r="M115" s="112"/>
      <c r="N115" s="112"/>
      <c r="O115" s="112" t="str">
        <f t="shared" si="3"/>
        <v>-255</v>
      </c>
      <c r="P115" s="112" t="s">
        <v>1562</v>
      </c>
      <c r="Q115" s="112" t="s">
        <v>1065</v>
      </c>
      <c r="R115" s="112"/>
      <c r="S115" s="112"/>
      <c r="T115" s="112"/>
    </row>
    <row r="116" spans="1:20" ht="12.75" customHeight="1">
      <c r="A116" s="143" t="str">
        <f>_xlfn.XLOOKUP(B116,Summary!B:B,Summary!C:C,"")</f>
        <v>Antminer S21</v>
      </c>
      <c r="B116" s="133" t="s">
        <v>295</v>
      </c>
      <c r="C116" s="170" t="s">
        <v>1914</v>
      </c>
      <c r="D116" s="133" t="s">
        <v>1915</v>
      </c>
      <c r="E116" s="133" t="s">
        <v>1916</v>
      </c>
      <c r="F116" s="133" t="s">
        <v>1917</v>
      </c>
      <c r="G116" s="133" t="s">
        <v>1918</v>
      </c>
      <c r="H116" s="133" t="s">
        <v>1919</v>
      </c>
      <c r="I116" s="133" t="s">
        <v>1920</v>
      </c>
      <c r="J116" s="133" t="s">
        <v>1921</v>
      </c>
      <c r="K116" s="133" t="s">
        <v>1922</v>
      </c>
      <c r="L116" s="112">
        <f>_xlfn.XLOOKUP(B116,Summary!B:B,Summary!G:G)</f>
        <v>3</v>
      </c>
      <c r="M116" s="112"/>
      <c r="N116" s="112"/>
      <c r="O116" s="112" t="str">
        <f t="shared" si="3"/>
        <v>-255</v>
      </c>
      <c r="P116" s="112" t="s">
        <v>1562</v>
      </c>
      <c r="Q116" s="112" t="s">
        <v>1065</v>
      </c>
      <c r="R116" s="112"/>
      <c r="S116" s="112"/>
      <c r="T116" s="112"/>
    </row>
    <row r="117" spans="1:20" ht="12.75" customHeight="1">
      <c r="A117" s="143" t="str">
        <f>_xlfn.XLOOKUP(B117,Summary!B:B,Summary!C:C,"")</f>
        <v>Antminer S21</v>
      </c>
      <c r="B117" s="133" t="s">
        <v>297</v>
      </c>
      <c r="C117" s="170" t="s">
        <v>1923</v>
      </c>
      <c r="D117" s="133" t="s">
        <v>1924</v>
      </c>
      <c r="E117" s="133" t="s">
        <v>1925</v>
      </c>
      <c r="F117" s="133" t="s">
        <v>1926</v>
      </c>
      <c r="G117" s="133" t="s">
        <v>1927</v>
      </c>
      <c r="H117" s="133" t="s">
        <v>1928</v>
      </c>
      <c r="I117" s="133" t="s">
        <v>1929</v>
      </c>
      <c r="J117" s="133" t="s">
        <v>1930</v>
      </c>
      <c r="K117" s="133" t="s">
        <v>1931</v>
      </c>
      <c r="L117" s="112">
        <f>_xlfn.XLOOKUP(B117,Summary!B:B,Summary!G:G)</f>
        <v>3</v>
      </c>
      <c r="M117" s="112"/>
      <c r="N117" s="112"/>
      <c r="O117" s="112" t="str">
        <f t="shared" si="3"/>
        <v>-255</v>
      </c>
      <c r="P117" s="112" t="s">
        <v>1562</v>
      </c>
      <c r="Q117" s="112" t="s">
        <v>1065</v>
      </c>
      <c r="R117" s="112"/>
      <c r="S117" s="112"/>
      <c r="T117" s="112"/>
    </row>
    <row r="118" spans="1:20" ht="12.75" customHeight="1">
      <c r="A118" s="143" t="str">
        <f>_xlfn.XLOOKUP(B118,Summary!B:B,Summary!C:C,"")</f>
        <v>Antminer S21</v>
      </c>
      <c r="B118" s="133" t="s">
        <v>298</v>
      </c>
      <c r="C118" s="170" t="s">
        <v>1932</v>
      </c>
      <c r="D118" s="133" t="s">
        <v>1933</v>
      </c>
      <c r="E118" s="133" t="s">
        <v>1934</v>
      </c>
      <c r="F118" s="133" t="s">
        <v>1935</v>
      </c>
      <c r="G118" s="133" t="s">
        <v>1936</v>
      </c>
      <c r="H118" s="133" t="s">
        <v>1937</v>
      </c>
      <c r="I118" s="133" t="s">
        <v>1938</v>
      </c>
      <c r="J118" s="133" t="s">
        <v>1939</v>
      </c>
      <c r="K118" s="133" t="s">
        <v>1940</v>
      </c>
      <c r="L118" s="112">
        <f>_xlfn.XLOOKUP(B118,Summary!B:B,Summary!G:G)</f>
        <v>3</v>
      </c>
      <c r="M118" s="112"/>
      <c r="N118" s="112"/>
      <c r="O118" s="112" t="str">
        <f t="shared" si="3"/>
        <v>-255</v>
      </c>
      <c r="P118" s="112" t="s">
        <v>1562</v>
      </c>
      <c r="Q118" s="112" t="s">
        <v>1065</v>
      </c>
      <c r="R118" s="112"/>
      <c r="S118" s="112"/>
      <c r="T118" s="112"/>
    </row>
    <row r="119" spans="1:20" ht="12.75" customHeight="1">
      <c r="A119" s="143" t="str">
        <f>_xlfn.XLOOKUP(B119,Summary!B:B,Summary!C:C,"")</f>
        <v>Antminer S21</v>
      </c>
      <c r="B119" s="133" t="s">
        <v>300</v>
      </c>
      <c r="C119" s="170" t="s">
        <v>1941</v>
      </c>
      <c r="D119" s="133" t="s">
        <v>1942</v>
      </c>
      <c r="E119" s="133" t="s">
        <v>1943</v>
      </c>
      <c r="F119" s="133" t="s">
        <v>1944</v>
      </c>
      <c r="G119" s="133" t="s">
        <v>1945</v>
      </c>
      <c r="H119" s="133" t="s">
        <v>1946</v>
      </c>
      <c r="I119" s="133" t="s">
        <v>1947</v>
      </c>
      <c r="J119" s="133" t="s">
        <v>1948</v>
      </c>
      <c r="K119" s="133" t="s">
        <v>1949</v>
      </c>
      <c r="L119" s="112">
        <f>_xlfn.XLOOKUP(B119,Summary!B:B,Summary!G:G)</f>
        <v>3</v>
      </c>
      <c r="M119" s="112"/>
      <c r="N119" s="112"/>
      <c r="O119" s="112" t="str">
        <f t="shared" si="3"/>
        <v>-255</v>
      </c>
      <c r="P119" s="112" t="s">
        <v>1562</v>
      </c>
      <c r="Q119" s="112" t="s">
        <v>1065</v>
      </c>
      <c r="R119" s="112"/>
      <c r="S119" s="112"/>
      <c r="T119" s="112"/>
    </row>
    <row r="120" spans="1:20" ht="12.75" customHeight="1">
      <c r="A120" s="143" t="str">
        <f>_xlfn.XLOOKUP(B120,Summary!B:B,Summary!C:C,"")</f>
        <v>Antminer S21</v>
      </c>
      <c r="B120" s="133" t="s">
        <v>301</v>
      </c>
      <c r="C120" s="170" t="s">
        <v>1950</v>
      </c>
      <c r="D120" s="133" t="s">
        <v>1951</v>
      </c>
      <c r="E120" s="133" t="s">
        <v>1952</v>
      </c>
      <c r="F120" s="133" t="s">
        <v>1953</v>
      </c>
      <c r="G120" s="133" t="s">
        <v>1954</v>
      </c>
      <c r="H120" s="133" t="s">
        <v>1955</v>
      </c>
      <c r="I120" s="133" t="s">
        <v>1956</v>
      </c>
      <c r="J120" s="133" t="s">
        <v>1957</v>
      </c>
      <c r="K120" s="133" t="s">
        <v>1958</v>
      </c>
      <c r="L120" s="112">
        <f>_xlfn.XLOOKUP(B120,Summary!B:B,Summary!G:G)</f>
        <v>3</v>
      </c>
      <c r="M120" s="112"/>
      <c r="N120" s="112"/>
      <c r="O120" s="112" t="str">
        <f t="shared" si="3"/>
        <v>-255</v>
      </c>
      <c r="P120" s="112" t="s">
        <v>1562</v>
      </c>
      <c r="Q120" s="112" t="s">
        <v>1065</v>
      </c>
      <c r="R120" s="112"/>
      <c r="S120" s="112"/>
      <c r="T120" s="112"/>
    </row>
    <row r="121" spans="1:20" ht="12.75" customHeight="1">
      <c r="A121" s="143" t="str">
        <f>_xlfn.XLOOKUP(B121,Summary!B:B,Summary!C:C,"")</f>
        <v>Antminer S21</v>
      </c>
      <c r="B121" s="133" t="s">
        <v>303</v>
      </c>
      <c r="C121" s="170" t="s">
        <v>1959</v>
      </c>
      <c r="D121" s="133" t="s">
        <v>1960</v>
      </c>
      <c r="E121" s="133" t="s">
        <v>1961</v>
      </c>
      <c r="F121" s="133" t="s">
        <v>1962</v>
      </c>
      <c r="G121" s="133" t="s">
        <v>1963</v>
      </c>
      <c r="H121" s="133" t="s">
        <v>1964</v>
      </c>
      <c r="I121" s="133" t="s">
        <v>1965</v>
      </c>
      <c r="J121" s="133" t="s">
        <v>1966</v>
      </c>
      <c r="K121" s="133" t="s">
        <v>1967</v>
      </c>
      <c r="L121" s="112">
        <f>_xlfn.XLOOKUP(B121,Summary!B:B,Summary!G:G)</f>
        <v>3</v>
      </c>
      <c r="M121" s="112"/>
      <c r="N121" s="112"/>
      <c r="O121" s="112" t="str">
        <f t="shared" si="3"/>
        <v>-255</v>
      </c>
      <c r="P121" s="112" t="s">
        <v>1562</v>
      </c>
      <c r="Q121" s="112" t="s">
        <v>1065</v>
      </c>
      <c r="R121" s="112"/>
      <c r="S121" s="112"/>
      <c r="T121" s="112"/>
    </row>
    <row r="122" spans="1:20" ht="12.75" customHeight="1">
      <c r="A122" s="143" t="str">
        <f>_xlfn.XLOOKUP(B122,Summary!B:B,Summary!C:C,"")</f>
        <v>Antminer S21</v>
      </c>
      <c r="B122" s="133" t="s">
        <v>304</v>
      </c>
      <c r="C122" s="170" t="s">
        <v>1968</v>
      </c>
      <c r="D122" s="133" t="s">
        <v>1969</v>
      </c>
      <c r="E122" s="133" t="s">
        <v>1970</v>
      </c>
      <c r="F122" s="133" t="s">
        <v>1971</v>
      </c>
      <c r="G122" s="133" t="s">
        <v>1972</v>
      </c>
      <c r="H122" s="133" t="s">
        <v>1973</v>
      </c>
      <c r="I122" s="133" t="s">
        <v>1974</v>
      </c>
      <c r="J122" s="133" t="s">
        <v>1975</v>
      </c>
      <c r="K122" s="133" t="s">
        <v>1976</v>
      </c>
      <c r="L122" s="112">
        <f>_xlfn.XLOOKUP(B122,Summary!B:B,Summary!G:G)</f>
        <v>3</v>
      </c>
      <c r="M122" s="112"/>
      <c r="N122" s="112"/>
      <c r="O122" s="112" t="str">
        <f t="shared" si="3"/>
        <v>-255</v>
      </c>
      <c r="P122" s="112" t="s">
        <v>1562</v>
      </c>
      <c r="Q122" s="112" t="s">
        <v>1065</v>
      </c>
      <c r="R122" s="112"/>
      <c r="S122" s="112"/>
      <c r="T122" s="112"/>
    </row>
    <row r="123" spans="1:20" ht="12.75" customHeight="1">
      <c r="A123" s="143" t="str">
        <f>_xlfn.XLOOKUP(B123,Summary!B:B,Summary!C:C,"")</f>
        <v>Antminer S21</v>
      </c>
      <c r="B123" s="133" t="s">
        <v>307</v>
      </c>
      <c r="C123" s="170" t="s">
        <v>1977</v>
      </c>
      <c r="D123" s="133" t="s">
        <v>1978</v>
      </c>
      <c r="E123" s="133" t="s">
        <v>1979</v>
      </c>
      <c r="F123" s="133" t="s">
        <v>1980</v>
      </c>
      <c r="G123" s="133" t="s">
        <v>1981</v>
      </c>
      <c r="H123" s="133" t="s">
        <v>1982</v>
      </c>
      <c r="I123" s="133" t="s">
        <v>1983</v>
      </c>
      <c r="J123" s="133" t="s">
        <v>1984</v>
      </c>
      <c r="K123" s="133" t="s">
        <v>1985</v>
      </c>
      <c r="L123" s="112">
        <f>_xlfn.XLOOKUP(B123,Summary!B:B,Summary!G:G)</f>
        <v>3</v>
      </c>
      <c r="M123" s="112"/>
      <c r="N123" s="112"/>
      <c r="O123" s="112" t="str">
        <f t="shared" si="3"/>
        <v>-255</v>
      </c>
      <c r="P123" s="112" t="s">
        <v>1562</v>
      </c>
      <c r="Q123" s="112" t="s">
        <v>1065</v>
      </c>
      <c r="R123" s="112"/>
      <c r="S123" s="112"/>
      <c r="T123" s="112"/>
    </row>
    <row r="124" spans="1:20" ht="12.75" customHeight="1">
      <c r="A124" s="143" t="str">
        <f>_xlfn.XLOOKUP(B124,Summary!B:B,Summary!C:C,"")</f>
        <v>Antminer S21</v>
      </c>
      <c r="B124" s="133" t="s">
        <v>308</v>
      </c>
      <c r="C124" s="170" t="s">
        <v>1986</v>
      </c>
      <c r="D124" s="133" t="s">
        <v>1987</v>
      </c>
      <c r="E124" s="133" t="s">
        <v>1988</v>
      </c>
      <c r="F124" s="133" t="s">
        <v>1989</v>
      </c>
      <c r="G124" s="133" t="s">
        <v>1990</v>
      </c>
      <c r="H124" s="133" t="s">
        <v>1991</v>
      </c>
      <c r="I124" s="133" t="s">
        <v>1992</v>
      </c>
      <c r="J124" s="133" t="s">
        <v>1993</v>
      </c>
      <c r="K124" s="133" t="s">
        <v>1994</v>
      </c>
      <c r="L124" s="112">
        <f>_xlfn.XLOOKUP(B124,Summary!B:B,Summary!G:G)</f>
        <v>3</v>
      </c>
      <c r="M124" s="112"/>
      <c r="N124" s="112"/>
      <c r="O124" s="112" t="str">
        <f t="shared" si="3"/>
        <v>-255</v>
      </c>
      <c r="P124" s="112" t="s">
        <v>1562</v>
      </c>
      <c r="Q124" s="112" t="s">
        <v>1065</v>
      </c>
      <c r="R124" s="112"/>
      <c r="S124" s="112"/>
      <c r="T124" s="112"/>
    </row>
    <row r="125" spans="1:20" ht="12.75" customHeight="1">
      <c r="A125" s="143" t="str">
        <f>_xlfn.XLOOKUP(B125,Summary!B:B,Summary!C:C,"")</f>
        <v>Antminer S21</v>
      </c>
      <c r="B125" s="133" t="s">
        <v>310</v>
      </c>
      <c r="C125" s="170" t="s">
        <v>1995</v>
      </c>
      <c r="D125" s="133" t="s">
        <v>1996</v>
      </c>
      <c r="E125" s="133" t="s">
        <v>1997</v>
      </c>
      <c r="F125" s="133" t="s">
        <v>1998</v>
      </c>
      <c r="G125" s="133" t="s">
        <v>1999</v>
      </c>
      <c r="H125" s="133" t="s">
        <v>2000</v>
      </c>
      <c r="I125" s="133" t="s">
        <v>2001</v>
      </c>
      <c r="J125" s="133" t="s">
        <v>2002</v>
      </c>
      <c r="K125" s="133" t="s">
        <v>2003</v>
      </c>
      <c r="L125" s="112">
        <f>_xlfn.XLOOKUP(B125,Summary!B:B,Summary!G:G)</f>
        <v>3</v>
      </c>
      <c r="M125" s="112"/>
      <c r="N125" s="112"/>
      <c r="O125" s="112" t="str">
        <f t="shared" si="3"/>
        <v>-255</v>
      </c>
      <c r="P125" s="112" t="s">
        <v>1562</v>
      </c>
      <c r="Q125" s="112" t="s">
        <v>1065</v>
      </c>
      <c r="R125" s="112"/>
      <c r="S125" s="112"/>
      <c r="T125" s="112"/>
    </row>
    <row r="126" spans="1:20" ht="12.75" customHeight="1">
      <c r="A126" s="143" t="str">
        <f>_xlfn.XLOOKUP(B126,Summary!B:B,Summary!C:C,"")</f>
        <v>Antminer S21</v>
      </c>
      <c r="B126" s="133" t="s">
        <v>311</v>
      </c>
      <c r="C126" s="170" t="s">
        <v>2004</v>
      </c>
      <c r="D126" s="133" t="s">
        <v>2005</v>
      </c>
      <c r="E126" s="133" t="s">
        <v>2006</v>
      </c>
      <c r="F126" s="133" t="s">
        <v>2007</v>
      </c>
      <c r="G126" s="133" t="s">
        <v>2008</v>
      </c>
      <c r="H126" s="133" t="s">
        <v>2009</v>
      </c>
      <c r="I126" s="133" t="s">
        <v>2010</v>
      </c>
      <c r="J126" s="133" t="s">
        <v>2011</v>
      </c>
      <c r="K126" s="133" t="s">
        <v>2012</v>
      </c>
      <c r="L126" s="112">
        <f>_xlfn.XLOOKUP(B126,Summary!B:B,Summary!G:G)</f>
        <v>3</v>
      </c>
      <c r="M126" s="112"/>
      <c r="N126" s="112"/>
      <c r="O126" s="112" t="str">
        <f t="shared" si="3"/>
        <v>-255</v>
      </c>
      <c r="P126" s="112" t="s">
        <v>1562</v>
      </c>
      <c r="Q126" s="112" t="s">
        <v>1065</v>
      </c>
      <c r="R126" s="112"/>
      <c r="S126" s="112"/>
      <c r="T126" s="112"/>
    </row>
    <row r="127" spans="1:20" ht="12.75" customHeight="1">
      <c r="A127" s="143" t="str">
        <f>_xlfn.XLOOKUP(B127,Summary!B:B,Summary!C:C,"")</f>
        <v>Antminer S21</v>
      </c>
      <c r="B127" s="133" t="s">
        <v>313</v>
      </c>
      <c r="C127" s="170" t="s">
        <v>2013</v>
      </c>
      <c r="D127" s="133" t="s">
        <v>2014</v>
      </c>
      <c r="E127" s="133" t="s">
        <v>2015</v>
      </c>
      <c r="F127" s="133" t="s">
        <v>2016</v>
      </c>
      <c r="G127" s="133" t="s">
        <v>2017</v>
      </c>
      <c r="H127" s="133" t="s">
        <v>2018</v>
      </c>
      <c r="I127" s="133" t="s">
        <v>2019</v>
      </c>
      <c r="J127" s="133" t="s">
        <v>2020</v>
      </c>
      <c r="K127" s="133" t="s">
        <v>2021</v>
      </c>
      <c r="L127" s="112">
        <f>_xlfn.XLOOKUP(B127,Summary!B:B,Summary!G:G)</f>
        <v>3</v>
      </c>
      <c r="M127" s="112"/>
      <c r="N127" s="112"/>
      <c r="O127" s="112" t="str">
        <f t="shared" si="3"/>
        <v>-255</v>
      </c>
      <c r="P127" s="112" t="s">
        <v>1562</v>
      </c>
      <c r="Q127" s="112" t="s">
        <v>1065</v>
      </c>
      <c r="R127" s="112"/>
      <c r="S127" s="112"/>
      <c r="T127" s="112"/>
    </row>
    <row r="128" spans="1:20" ht="12.75" customHeight="1">
      <c r="A128" s="143" t="str">
        <f>_xlfn.XLOOKUP(B128,Summary!B:B,Summary!C:C,"")</f>
        <v>Antminer S21</v>
      </c>
      <c r="B128" s="133" t="s">
        <v>314</v>
      </c>
      <c r="C128" s="170" t="s">
        <v>2022</v>
      </c>
      <c r="D128" s="133" t="s">
        <v>2023</v>
      </c>
      <c r="E128" s="133" t="s">
        <v>2024</v>
      </c>
      <c r="F128" s="133" t="s">
        <v>2025</v>
      </c>
      <c r="G128" s="133" t="s">
        <v>2026</v>
      </c>
      <c r="H128" s="133" t="s">
        <v>2027</v>
      </c>
      <c r="I128" s="133" t="s">
        <v>2028</v>
      </c>
      <c r="J128" s="133" t="s">
        <v>2029</v>
      </c>
      <c r="K128" s="133" t="s">
        <v>2030</v>
      </c>
      <c r="L128" s="112">
        <f>_xlfn.XLOOKUP(B128,Summary!B:B,Summary!G:G)</f>
        <v>3</v>
      </c>
      <c r="M128" s="112"/>
      <c r="N128" s="112"/>
      <c r="O128" s="112" t="str">
        <f t="shared" si="3"/>
        <v>-255</v>
      </c>
      <c r="P128" s="112" t="s">
        <v>1562</v>
      </c>
      <c r="Q128" s="112" t="s">
        <v>1065</v>
      </c>
      <c r="R128" s="112"/>
      <c r="S128" s="112"/>
      <c r="T128" s="112"/>
    </row>
    <row r="129" spans="1:20" ht="12.75" customHeight="1">
      <c r="A129" s="143" t="str">
        <f>_xlfn.XLOOKUP(B129,Summary!B:B,Summary!C:C,"")</f>
        <v>Antminer S21</v>
      </c>
      <c r="B129" s="133" t="s">
        <v>316</v>
      </c>
      <c r="C129" s="170" t="s">
        <v>2031</v>
      </c>
      <c r="D129" s="133" t="s">
        <v>2032</v>
      </c>
      <c r="E129" s="133" t="s">
        <v>2033</v>
      </c>
      <c r="F129" s="133" t="s">
        <v>2034</v>
      </c>
      <c r="G129" s="133" t="s">
        <v>2035</v>
      </c>
      <c r="H129" s="133" t="s">
        <v>2036</v>
      </c>
      <c r="I129" s="133" t="s">
        <v>2037</v>
      </c>
      <c r="J129" s="133" t="s">
        <v>2038</v>
      </c>
      <c r="K129" s="133" t="s">
        <v>2039</v>
      </c>
      <c r="L129" s="112">
        <f>_xlfn.XLOOKUP(B129,Summary!B:B,Summary!G:G)</f>
        <v>3</v>
      </c>
      <c r="M129" s="112"/>
      <c r="N129" s="112"/>
      <c r="O129" s="112" t="str">
        <f t="shared" si="3"/>
        <v>-255</v>
      </c>
      <c r="P129" s="112" t="s">
        <v>1562</v>
      </c>
      <c r="Q129" s="112" t="s">
        <v>1065</v>
      </c>
      <c r="R129" s="112"/>
      <c r="S129" s="112"/>
      <c r="T129" s="112"/>
    </row>
    <row r="130" spans="1:20" ht="12.75" customHeight="1">
      <c r="A130" s="143" t="str">
        <f>_xlfn.XLOOKUP(B130,Summary!B:B,Summary!C:C,"")</f>
        <v>Antminer S21</v>
      </c>
      <c r="B130" s="133" t="s">
        <v>317</v>
      </c>
      <c r="C130" s="170" t="s">
        <v>2040</v>
      </c>
      <c r="D130" s="133" t="s">
        <v>2041</v>
      </c>
      <c r="E130" s="133" t="s">
        <v>2042</v>
      </c>
      <c r="F130" s="133" t="s">
        <v>2043</v>
      </c>
      <c r="G130" s="133" t="s">
        <v>2044</v>
      </c>
      <c r="H130" s="133" t="s">
        <v>2045</v>
      </c>
      <c r="I130" s="133" t="s">
        <v>2046</v>
      </c>
      <c r="J130" s="133" t="s">
        <v>2047</v>
      </c>
      <c r="K130" s="133" t="s">
        <v>2048</v>
      </c>
      <c r="L130" s="112">
        <f>_xlfn.XLOOKUP(B130,Summary!B:B,Summary!G:G)</f>
        <v>3</v>
      </c>
      <c r="M130" s="112"/>
      <c r="N130" s="112"/>
      <c r="O130" s="112" t="str">
        <f t="shared" si="3"/>
        <v>-255</v>
      </c>
      <c r="P130" s="112" t="s">
        <v>1562</v>
      </c>
      <c r="Q130" s="112" t="s">
        <v>1065</v>
      </c>
      <c r="R130" s="112"/>
      <c r="S130" s="112"/>
      <c r="T130" s="112"/>
    </row>
    <row r="131" spans="1:20" ht="12.75" customHeight="1">
      <c r="A131" s="143" t="str">
        <f>_xlfn.XLOOKUP(B131,Summary!B:B,Summary!C:C,"")</f>
        <v>Antminer S21</v>
      </c>
      <c r="B131" s="133" t="s">
        <v>319</v>
      </c>
      <c r="C131" s="170" t="s">
        <v>2049</v>
      </c>
      <c r="D131" s="133" t="s">
        <v>2050</v>
      </c>
      <c r="E131" s="133" t="s">
        <v>2051</v>
      </c>
      <c r="F131" s="133" t="s">
        <v>2052</v>
      </c>
      <c r="G131" s="133" t="s">
        <v>2053</v>
      </c>
      <c r="H131" s="133" t="s">
        <v>2054</v>
      </c>
      <c r="I131" s="133" t="s">
        <v>2055</v>
      </c>
      <c r="J131" s="133" t="s">
        <v>2056</v>
      </c>
      <c r="K131" s="133" t="s">
        <v>2057</v>
      </c>
      <c r="L131" s="112">
        <f>_xlfn.XLOOKUP(B131,Summary!B:B,Summary!G:G)</f>
        <v>3</v>
      </c>
      <c r="M131" s="112"/>
      <c r="N131" s="112"/>
      <c r="O131" s="112" t="str">
        <f t="shared" si="3"/>
        <v>-255</v>
      </c>
      <c r="P131" s="112" t="s">
        <v>1562</v>
      </c>
      <c r="Q131" s="112" t="s">
        <v>1065</v>
      </c>
      <c r="R131" s="112"/>
      <c r="S131" s="112"/>
      <c r="T131" s="112"/>
    </row>
    <row r="132" spans="1:20" ht="12.75" customHeight="1">
      <c r="A132" s="253" t="str">
        <f>_xlfn.XLOOKUP(B132,Summary!B:B,Summary!C:C,"")</f>
        <v>Antminer S21</v>
      </c>
      <c r="B132" s="254" t="s">
        <v>320</v>
      </c>
      <c r="C132" s="255" t="s">
        <v>2058</v>
      </c>
      <c r="D132" s="254" t="s">
        <v>2059</v>
      </c>
      <c r="E132" s="254" t="s">
        <v>2060</v>
      </c>
      <c r="F132" s="254" t="s">
        <v>2061</v>
      </c>
      <c r="G132" s="254" t="s">
        <v>2062</v>
      </c>
      <c r="H132" s="254" t="s">
        <v>2063</v>
      </c>
      <c r="I132" s="254" t="s">
        <v>2064</v>
      </c>
      <c r="J132" s="254" t="s">
        <v>2065</v>
      </c>
      <c r="K132" s="254" t="s">
        <v>2066</v>
      </c>
      <c r="L132" s="112">
        <f>_xlfn.XLOOKUP(B132,Summary!B:B,Summary!G:G)</f>
        <v>4</v>
      </c>
      <c r="M132" s="112"/>
      <c r="N132" s="112"/>
      <c r="O132" s="112" t="str">
        <f t="shared" si="3"/>
        <v>-255</v>
      </c>
      <c r="P132" s="112" t="s">
        <v>2067</v>
      </c>
      <c r="Q132" s="112" t="s">
        <v>1065</v>
      </c>
      <c r="R132" s="112"/>
      <c r="S132" s="179" t="s">
        <v>2068</v>
      </c>
      <c r="T132" s="112"/>
    </row>
    <row r="133" spans="1:20" ht="12.75" customHeight="1">
      <c r="A133" s="253" t="str">
        <f>_xlfn.XLOOKUP(B133,Summary!B:B,Summary!C:C,"")</f>
        <v>Antminer S21</v>
      </c>
      <c r="B133" s="254" t="s">
        <v>324</v>
      </c>
      <c r="C133" s="255" t="s">
        <v>2069</v>
      </c>
      <c r="D133" s="254" t="s">
        <v>2070</v>
      </c>
      <c r="E133" s="254" t="s">
        <v>2071</v>
      </c>
      <c r="F133" s="254" t="s">
        <v>2072</v>
      </c>
      <c r="G133" s="254" t="s">
        <v>2073</v>
      </c>
      <c r="H133" s="254" t="s">
        <v>2074</v>
      </c>
      <c r="I133" s="254" t="s">
        <v>2075</v>
      </c>
      <c r="J133" s="254" t="s">
        <v>2076</v>
      </c>
      <c r="K133" s="254" t="s">
        <v>2077</v>
      </c>
      <c r="L133" s="112">
        <f>_xlfn.XLOOKUP(B133,Summary!B:B,Summary!G:G)</f>
        <v>4</v>
      </c>
      <c r="M133" s="112"/>
      <c r="N133" s="112"/>
      <c r="O133" s="112" t="str">
        <f t="shared" si="3"/>
        <v>-255</v>
      </c>
      <c r="P133" s="112" t="s">
        <v>2067</v>
      </c>
      <c r="Q133" s="112" t="s">
        <v>1065</v>
      </c>
      <c r="R133" s="112" t="s">
        <v>2068</v>
      </c>
      <c r="S133" s="179" t="s">
        <v>2068</v>
      </c>
      <c r="T133" s="112"/>
    </row>
    <row r="134" spans="1:20" ht="12.75" customHeight="1">
      <c r="A134" s="144" t="str">
        <f>_xlfn.XLOOKUP(B134,Summary!B:B,Summary!C:C,"")</f>
        <v>Antminer S21</v>
      </c>
      <c r="B134" s="131" t="s">
        <v>325</v>
      </c>
      <c r="C134" s="171" t="s">
        <v>2078</v>
      </c>
      <c r="D134" s="131" t="s">
        <v>2079</v>
      </c>
      <c r="E134" s="131" t="s">
        <v>2080</v>
      </c>
      <c r="F134" s="131" t="s">
        <v>2081</v>
      </c>
      <c r="G134" s="131" t="s">
        <v>2082</v>
      </c>
      <c r="H134" s="131" t="s">
        <v>2083</v>
      </c>
      <c r="I134" s="131" t="s">
        <v>2084</v>
      </c>
      <c r="J134" s="131" t="s">
        <v>2085</v>
      </c>
      <c r="K134" s="131" t="s">
        <v>2086</v>
      </c>
      <c r="L134" s="112">
        <f>_xlfn.XLOOKUP(B134,Summary!B:B,Summary!G:G)</f>
        <v>4</v>
      </c>
      <c r="M134" s="112"/>
      <c r="N134" s="112"/>
      <c r="O134" s="112" t="str">
        <f t="shared" si="3"/>
        <v>-255</v>
      </c>
      <c r="P134" s="112" t="s">
        <v>2067</v>
      </c>
      <c r="Q134" s="112" t="s">
        <v>1065</v>
      </c>
      <c r="R134" s="112"/>
      <c r="S134" s="112"/>
      <c r="T134" s="112"/>
    </row>
    <row r="135" spans="1:20" ht="12.75" customHeight="1">
      <c r="A135" s="144" t="str">
        <f>_xlfn.XLOOKUP(B135,Summary!B:B,Summary!C:C,"")</f>
        <v>Antminer S21</v>
      </c>
      <c r="B135" s="131" t="s">
        <v>327</v>
      </c>
      <c r="C135" s="171" t="s">
        <v>2087</v>
      </c>
      <c r="D135" s="131" t="s">
        <v>2088</v>
      </c>
      <c r="E135" s="131" t="s">
        <v>2089</v>
      </c>
      <c r="F135" s="131" t="s">
        <v>2090</v>
      </c>
      <c r="G135" s="131" t="s">
        <v>2091</v>
      </c>
      <c r="H135" s="131" t="s">
        <v>2092</v>
      </c>
      <c r="I135" s="131" t="s">
        <v>2093</v>
      </c>
      <c r="J135" s="131" t="s">
        <v>2094</v>
      </c>
      <c r="K135" s="131" t="s">
        <v>2095</v>
      </c>
      <c r="L135" s="112">
        <f>_xlfn.XLOOKUP(B135,Summary!B:B,Summary!G:G)</f>
        <v>4</v>
      </c>
      <c r="M135" s="112"/>
      <c r="N135" s="112"/>
      <c r="O135" s="112" t="str">
        <f t="shared" si="3"/>
        <v>-255</v>
      </c>
      <c r="P135" s="112" t="s">
        <v>2067</v>
      </c>
      <c r="Q135" s="112" t="s">
        <v>1065</v>
      </c>
      <c r="R135" s="112"/>
      <c r="S135" s="112"/>
      <c r="T135" s="112"/>
    </row>
    <row r="136" spans="1:20" ht="12.75" customHeight="1">
      <c r="A136" s="144" t="str">
        <f>_xlfn.XLOOKUP(B136,Summary!B:B,Summary!C:C,"")</f>
        <v>Antminer S21</v>
      </c>
      <c r="B136" s="131" t="s">
        <v>328</v>
      </c>
      <c r="C136" s="171" t="s">
        <v>2096</v>
      </c>
      <c r="D136" s="131" t="s">
        <v>2097</v>
      </c>
      <c r="E136" s="131" t="s">
        <v>2098</v>
      </c>
      <c r="F136" s="131" t="s">
        <v>2099</v>
      </c>
      <c r="G136" s="131" t="s">
        <v>2100</v>
      </c>
      <c r="H136" s="131" t="s">
        <v>2101</v>
      </c>
      <c r="I136" s="131" t="s">
        <v>2102</v>
      </c>
      <c r="J136" s="131" t="s">
        <v>2103</v>
      </c>
      <c r="K136" s="131" t="s">
        <v>2104</v>
      </c>
      <c r="L136" s="112">
        <f>_xlfn.XLOOKUP(B136,Summary!B:B,Summary!G:G)</f>
        <v>4</v>
      </c>
      <c r="M136" s="112"/>
      <c r="N136" s="112"/>
      <c r="O136" s="112" t="str">
        <f t="shared" si="3"/>
        <v>-255</v>
      </c>
      <c r="P136" s="112" t="s">
        <v>2067</v>
      </c>
      <c r="Q136" s="112" t="s">
        <v>1065</v>
      </c>
      <c r="R136" s="112"/>
      <c r="S136" s="112"/>
      <c r="T136" s="112"/>
    </row>
    <row r="137" spans="1:20" ht="12.75" customHeight="1">
      <c r="A137" s="144" t="str">
        <f>_xlfn.XLOOKUP(B137,Summary!B:B,Summary!C:C,"")</f>
        <v>Antminer S21</v>
      </c>
      <c r="B137" s="131" t="s">
        <v>330</v>
      </c>
      <c r="C137" s="171" t="s">
        <v>2105</v>
      </c>
      <c r="D137" s="131" t="s">
        <v>2106</v>
      </c>
      <c r="E137" s="131" t="s">
        <v>2107</v>
      </c>
      <c r="F137" s="131" t="s">
        <v>2108</v>
      </c>
      <c r="G137" s="131" t="s">
        <v>2109</v>
      </c>
      <c r="H137" s="131" t="s">
        <v>2110</v>
      </c>
      <c r="I137" s="131" t="s">
        <v>2111</v>
      </c>
      <c r="J137" s="131" t="s">
        <v>2112</v>
      </c>
      <c r="K137" s="131" t="s">
        <v>2113</v>
      </c>
      <c r="L137" s="112">
        <f>_xlfn.XLOOKUP(B137,Summary!B:B,Summary!G:G)</f>
        <v>4</v>
      </c>
      <c r="M137" s="112"/>
      <c r="N137" s="112"/>
      <c r="O137" s="112" t="str">
        <f t="shared" si="3"/>
        <v>-255</v>
      </c>
      <c r="P137" s="112" t="s">
        <v>2067</v>
      </c>
      <c r="Q137" s="112" t="s">
        <v>1065</v>
      </c>
      <c r="R137" s="112"/>
      <c r="S137" s="112"/>
      <c r="T137" s="112"/>
    </row>
    <row r="138" spans="1:20" ht="12.75" customHeight="1">
      <c r="A138" s="144" t="str">
        <f>_xlfn.XLOOKUP(B138,Summary!B:B,Summary!C:C,"")</f>
        <v>Antminer S21</v>
      </c>
      <c r="B138" s="131" t="s">
        <v>331</v>
      </c>
      <c r="C138" s="171" t="s">
        <v>2114</v>
      </c>
      <c r="D138" s="131" t="s">
        <v>2115</v>
      </c>
      <c r="E138" s="131" t="s">
        <v>2116</v>
      </c>
      <c r="F138" s="131" t="s">
        <v>2117</v>
      </c>
      <c r="G138" s="131" t="s">
        <v>2118</v>
      </c>
      <c r="H138" s="131" t="s">
        <v>2119</v>
      </c>
      <c r="I138" s="131" t="s">
        <v>2120</v>
      </c>
      <c r="J138" s="131" t="s">
        <v>2121</v>
      </c>
      <c r="K138" s="131" t="s">
        <v>2122</v>
      </c>
      <c r="L138" s="112">
        <f>_xlfn.XLOOKUP(B138,Summary!B:B,Summary!G:G)</f>
        <v>4</v>
      </c>
      <c r="M138" s="112"/>
      <c r="N138" s="112"/>
      <c r="O138" s="112" t="str">
        <f t="shared" si="3"/>
        <v>-255</v>
      </c>
      <c r="P138" s="112" t="s">
        <v>2067</v>
      </c>
      <c r="Q138" s="112" t="s">
        <v>1065</v>
      </c>
      <c r="R138" s="112"/>
      <c r="S138" s="112"/>
      <c r="T138" s="112"/>
    </row>
    <row r="139" spans="1:20" ht="12.75" customHeight="1">
      <c r="A139" s="144" t="str">
        <f>_xlfn.XLOOKUP(B139,Summary!B:B,Summary!C:C,"")</f>
        <v>Antminer S21</v>
      </c>
      <c r="B139" s="131" t="s">
        <v>333</v>
      </c>
      <c r="C139" s="171" t="s">
        <v>2123</v>
      </c>
      <c r="D139" s="131" t="s">
        <v>2124</v>
      </c>
      <c r="E139" s="131" t="s">
        <v>2125</v>
      </c>
      <c r="F139" s="131" t="s">
        <v>2126</v>
      </c>
      <c r="G139" s="131" t="s">
        <v>2127</v>
      </c>
      <c r="H139" s="131" t="s">
        <v>2128</v>
      </c>
      <c r="I139" s="131" t="s">
        <v>2129</v>
      </c>
      <c r="J139" s="131" t="s">
        <v>2130</v>
      </c>
      <c r="K139" s="131" t="s">
        <v>2131</v>
      </c>
      <c r="L139" s="112">
        <f>_xlfn.XLOOKUP(B139,Summary!B:B,Summary!G:G)</f>
        <v>4</v>
      </c>
      <c r="M139" s="112"/>
      <c r="N139" s="112"/>
      <c r="O139" s="112" t="str">
        <f t="shared" si="3"/>
        <v>-255</v>
      </c>
      <c r="P139" s="112" t="s">
        <v>2067</v>
      </c>
      <c r="Q139" s="112" t="s">
        <v>1065</v>
      </c>
      <c r="R139" s="112"/>
      <c r="S139" s="112"/>
      <c r="T139" s="112"/>
    </row>
    <row r="140" spans="1:20" ht="12.75" customHeight="1">
      <c r="A140" s="144" t="str">
        <f>_xlfn.XLOOKUP(B140,Summary!B:B,Summary!C:C,"")</f>
        <v>Antminer S21</v>
      </c>
      <c r="B140" s="131" t="s">
        <v>334</v>
      </c>
      <c r="C140" s="171" t="s">
        <v>2132</v>
      </c>
      <c r="D140" s="131" t="s">
        <v>2133</v>
      </c>
      <c r="E140" s="131" t="s">
        <v>2134</v>
      </c>
      <c r="F140" s="131" t="s">
        <v>2135</v>
      </c>
      <c r="G140" s="131" t="s">
        <v>2136</v>
      </c>
      <c r="H140" s="131" t="s">
        <v>2137</v>
      </c>
      <c r="I140" s="131" t="s">
        <v>2138</v>
      </c>
      <c r="J140" s="131" t="s">
        <v>2139</v>
      </c>
      <c r="K140" s="131" t="s">
        <v>2140</v>
      </c>
      <c r="L140" s="112">
        <f>_xlfn.XLOOKUP(B140,Summary!B:B,Summary!G:G)</f>
        <v>4</v>
      </c>
      <c r="M140" s="112"/>
      <c r="N140" s="112"/>
      <c r="O140" s="112" t="str">
        <f t="shared" si="3"/>
        <v>-255</v>
      </c>
      <c r="P140" s="112" t="s">
        <v>2067</v>
      </c>
      <c r="Q140" s="112" t="s">
        <v>1065</v>
      </c>
      <c r="R140" s="112"/>
      <c r="S140" s="112"/>
      <c r="T140" s="112"/>
    </row>
    <row r="141" spans="1:20" ht="12.75" customHeight="1">
      <c r="A141" s="144" t="str">
        <f>_xlfn.XLOOKUP(B141,Summary!B:B,Summary!C:C,"")</f>
        <v>Antminer S21</v>
      </c>
      <c r="B141" s="131" t="s">
        <v>336</v>
      </c>
      <c r="C141" s="171" t="s">
        <v>2141</v>
      </c>
      <c r="D141" s="131" t="s">
        <v>2142</v>
      </c>
      <c r="E141" s="131" t="s">
        <v>2143</v>
      </c>
      <c r="F141" s="131" t="s">
        <v>2144</v>
      </c>
      <c r="G141" s="131" t="s">
        <v>2145</v>
      </c>
      <c r="H141" s="131" t="s">
        <v>2146</v>
      </c>
      <c r="I141" s="131" t="s">
        <v>2147</v>
      </c>
      <c r="J141" s="131" t="s">
        <v>2148</v>
      </c>
      <c r="K141" s="131" t="s">
        <v>2149</v>
      </c>
      <c r="L141" s="112">
        <f>_xlfn.XLOOKUP(B141,Summary!B:B,Summary!G:G)</f>
        <v>4</v>
      </c>
      <c r="M141" s="112"/>
      <c r="N141" s="112"/>
      <c r="O141" s="112" t="str">
        <f t="shared" si="3"/>
        <v>-255</v>
      </c>
      <c r="P141" s="112" t="s">
        <v>2067</v>
      </c>
      <c r="Q141" s="112" t="s">
        <v>1065</v>
      </c>
      <c r="R141" s="112"/>
      <c r="S141" s="112"/>
      <c r="T141" s="112"/>
    </row>
    <row r="142" spans="1:20" ht="12.75" customHeight="1">
      <c r="A142" s="144" t="str">
        <f>_xlfn.XLOOKUP(B142,Summary!B:B,Summary!C:C,"")</f>
        <v>Antminer S21</v>
      </c>
      <c r="B142" s="131" t="s">
        <v>337</v>
      </c>
      <c r="C142" s="171" t="s">
        <v>2150</v>
      </c>
      <c r="D142" s="131" t="s">
        <v>2151</v>
      </c>
      <c r="E142" s="131" t="s">
        <v>2152</v>
      </c>
      <c r="F142" s="131" t="s">
        <v>2153</v>
      </c>
      <c r="G142" s="131" t="s">
        <v>2154</v>
      </c>
      <c r="H142" s="131" t="s">
        <v>2155</v>
      </c>
      <c r="I142" s="131" t="s">
        <v>2156</v>
      </c>
      <c r="J142" s="131" t="s">
        <v>2157</v>
      </c>
      <c r="K142" s="131" t="s">
        <v>2158</v>
      </c>
      <c r="L142" s="112">
        <f>_xlfn.XLOOKUP(B142,Summary!B:B,Summary!G:G)</f>
        <v>4</v>
      </c>
      <c r="M142" s="112"/>
      <c r="N142" s="112"/>
      <c r="O142" s="112" t="str">
        <f t="shared" si="3"/>
        <v>-255</v>
      </c>
      <c r="P142" s="112" t="s">
        <v>2067</v>
      </c>
      <c r="Q142" s="112" t="s">
        <v>1065</v>
      </c>
      <c r="R142" s="112"/>
      <c r="S142" s="112"/>
      <c r="T142" s="112"/>
    </row>
    <row r="143" spans="1:20" ht="12.75" customHeight="1">
      <c r="A143" s="144" t="str">
        <f>_xlfn.XLOOKUP(B143,Summary!B:B,Summary!C:C,"")</f>
        <v>Antminer S21</v>
      </c>
      <c r="B143" s="131" t="s">
        <v>339</v>
      </c>
      <c r="C143" s="171" t="s">
        <v>2159</v>
      </c>
      <c r="D143" s="131" t="s">
        <v>2160</v>
      </c>
      <c r="E143" s="131" t="s">
        <v>2161</v>
      </c>
      <c r="F143" s="131" t="s">
        <v>2162</v>
      </c>
      <c r="G143" s="131" t="s">
        <v>2163</v>
      </c>
      <c r="H143" s="131" t="s">
        <v>2164</v>
      </c>
      <c r="I143" s="131" t="s">
        <v>2165</v>
      </c>
      <c r="J143" s="131" t="s">
        <v>2166</v>
      </c>
      <c r="K143" s="131" t="s">
        <v>2167</v>
      </c>
      <c r="L143" s="112">
        <f>_xlfn.XLOOKUP(B143,Summary!B:B,Summary!G:G)</f>
        <v>4</v>
      </c>
      <c r="M143" s="112"/>
      <c r="N143" s="112"/>
      <c r="O143" s="112" t="str">
        <f t="shared" si="3"/>
        <v>-255</v>
      </c>
      <c r="P143" s="112" t="s">
        <v>2067</v>
      </c>
      <c r="Q143" s="112" t="s">
        <v>1065</v>
      </c>
      <c r="R143" s="112"/>
      <c r="S143" s="112"/>
      <c r="T143" s="112"/>
    </row>
    <row r="144" spans="1:20" ht="12.75" customHeight="1">
      <c r="A144" s="144" t="str">
        <f>_xlfn.XLOOKUP(B144,Summary!B:B,Summary!C:C,"")</f>
        <v>Antminer S21</v>
      </c>
      <c r="B144" s="131" t="s">
        <v>340</v>
      </c>
      <c r="C144" s="171" t="s">
        <v>2168</v>
      </c>
      <c r="D144" s="131" t="s">
        <v>2169</v>
      </c>
      <c r="E144" s="131" t="s">
        <v>2170</v>
      </c>
      <c r="F144" s="131" t="s">
        <v>2171</v>
      </c>
      <c r="G144" s="131" t="s">
        <v>2172</v>
      </c>
      <c r="H144" s="131" t="s">
        <v>2173</v>
      </c>
      <c r="I144" s="131" t="s">
        <v>2174</v>
      </c>
      <c r="J144" s="131" t="s">
        <v>2175</v>
      </c>
      <c r="K144" s="131" t="s">
        <v>2176</v>
      </c>
      <c r="L144" s="112">
        <f>_xlfn.XLOOKUP(B144,Summary!B:B,Summary!G:G)</f>
        <v>4</v>
      </c>
      <c r="M144" s="112"/>
      <c r="N144" s="112"/>
      <c r="O144" s="112" t="str">
        <f t="shared" si="3"/>
        <v>-255</v>
      </c>
      <c r="P144" s="112" t="s">
        <v>2067</v>
      </c>
      <c r="Q144" s="112" t="s">
        <v>1065</v>
      </c>
      <c r="R144" s="112"/>
      <c r="S144" s="112"/>
      <c r="T144" s="112"/>
    </row>
    <row r="145" spans="1:20" ht="12.75" customHeight="1">
      <c r="A145" s="144" t="str">
        <f>_xlfn.XLOOKUP(B145,Summary!B:B,Summary!C:C,"")</f>
        <v>Antminer S21</v>
      </c>
      <c r="B145" s="131" t="s">
        <v>342</v>
      </c>
      <c r="C145" s="171" t="s">
        <v>2177</v>
      </c>
      <c r="D145" s="131" t="s">
        <v>2178</v>
      </c>
      <c r="E145" s="131" t="s">
        <v>2179</v>
      </c>
      <c r="F145" s="131" t="s">
        <v>2180</v>
      </c>
      <c r="G145" s="131" t="s">
        <v>2181</v>
      </c>
      <c r="H145" s="131" t="s">
        <v>2182</v>
      </c>
      <c r="I145" s="131" t="s">
        <v>2183</v>
      </c>
      <c r="J145" s="131" t="s">
        <v>2184</v>
      </c>
      <c r="K145" s="131" t="s">
        <v>2185</v>
      </c>
      <c r="L145" s="112">
        <f>_xlfn.XLOOKUP(B145,Summary!B:B,Summary!G:G)</f>
        <v>4</v>
      </c>
      <c r="M145" s="112"/>
      <c r="N145" s="112"/>
      <c r="O145" s="112" t="str">
        <f t="shared" si="3"/>
        <v>-255</v>
      </c>
      <c r="P145" s="112" t="s">
        <v>2067</v>
      </c>
      <c r="Q145" s="112" t="s">
        <v>1065</v>
      </c>
      <c r="R145" s="112"/>
      <c r="S145" s="112"/>
      <c r="T145" s="112"/>
    </row>
    <row r="146" spans="1:20" ht="12.75" customHeight="1">
      <c r="A146" s="144" t="str">
        <f>_xlfn.XLOOKUP(B146,Summary!B:B,Summary!C:C,"")</f>
        <v>Antminer S21</v>
      </c>
      <c r="B146" s="131" t="s">
        <v>343</v>
      </c>
      <c r="C146" s="171" t="s">
        <v>2186</v>
      </c>
      <c r="D146" s="131" t="s">
        <v>2187</v>
      </c>
      <c r="E146" s="131" t="s">
        <v>2188</v>
      </c>
      <c r="F146" s="131" t="s">
        <v>2189</v>
      </c>
      <c r="G146" s="131" t="s">
        <v>2190</v>
      </c>
      <c r="H146" s="131" t="s">
        <v>2191</v>
      </c>
      <c r="I146" s="131" t="s">
        <v>2192</v>
      </c>
      <c r="J146" s="131" t="s">
        <v>2193</v>
      </c>
      <c r="K146" s="131" t="s">
        <v>2194</v>
      </c>
      <c r="L146" s="112">
        <f>_xlfn.XLOOKUP(B146,Summary!B:B,Summary!G:G)</f>
        <v>4</v>
      </c>
      <c r="M146" s="112"/>
      <c r="N146" s="112"/>
      <c r="O146" s="112" t="str">
        <f t="shared" si="3"/>
        <v>-255</v>
      </c>
      <c r="P146" s="112" t="s">
        <v>2067</v>
      </c>
      <c r="Q146" s="112" t="s">
        <v>1065</v>
      </c>
      <c r="R146" s="112"/>
      <c r="S146" s="112"/>
      <c r="T146" s="112"/>
    </row>
    <row r="147" spans="1:20" ht="12.75" customHeight="1">
      <c r="A147" s="144" t="str">
        <f>_xlfn.XLOOKUP(B147,Summary!B:B,Summary!C:C,"")</f>
        <v>Antminer S21</v>
      </c>
      <c r="B147" s="131" t="s">
        <v>345</v>
      </c>
      <c r="C147" s="171" t="s">
        <v>2195</v>
      </c>
      <c r="D147" s="131" t="s">
        <v>2196</v>
      </c>
      <c r="E147" s="131" t="s">
        <v>2197</v>
      </c>
      <c r="F147" s="131" t="s">
        <v>2198</v>
      </c>
      <c r="G147" s="131" t="s">
        <v>2199</v>
      </c>
      <c r="H147" s="131" t="s">
        <v>2200</v>
      </c>
      <c r="I147" s="131" t="s">
        <v>2201</v>
      </c>
      <c r="J147" s="131" t="s">
        <v>2202</v>
      </c>
      <c r="K147" s="131" t="s">
        <v>2203</v>
      </c>
      <c r="L147" s="112">
        <f>_xlfn.XLOOKUP(B147,Summary!B:B,Summary!G:G)</f>
        <v>4</v>
      </c>
      <c r="M147" s="112"/>
      <c r="N147" s="112"/>
      <c r="O147" s="112" t="str">
        <f t="shared" si="3"/>
        <v>-255</v>
      </c>
      <c r="P147" s="112" t="s">
        <v>2067</v>
      </c>
      <c r="Q147" s="112" t="s">
        <v>1065</v>
      </c>
      <c r="R147" s="112"/>
      <c r="S147" s="112"/>
      <c r="T147" s="112"/>
    </row>
    <row r="148" spans="1:20" ht="12.75" customHeight="1">
      <c r="A148" s="144" t="str">
        <f>_xlfn.XLOOKUP(B148,Summary!B:B,Summary!C:C,"")</f>
        <v>Antminer S21</v>
      </c>
      <c r="B148" s="131" t="s">
        <v>346</v>
      </c>
      <c r="C148" s="171" t="s">
        <v>2204</v>
      </c>
      <c r="D148" s="131" t="s">
        <v>2205</v>
      </c>
      <c r="E148" s="131" t="s">
        <v>2206</v>
      </c>
      <c r="F148" s="131" t="s">
        <v>2207</v>
      </c>
      <c r="G148" s="131" t="s">
        <v>2208</v>
      </c>
      <c r="H148" s="131" t="s">
        <v>2209</v>
      </c>
      <c r="I148" s="131" t="s">
        <v>2210</v>
      </c>
      <c r="J148" s="131" t="s">
        <v>2211</v>
      </c>
      <c r="K148" s="131" t="s">
        <v>2212</v>
      </c>
      <c r="L148" s="112">
        <f>_xlfn.XLOOKUP(B148,Summary!B:B,Summary!G:G)</f>
        <v>4</v>
      </c>
      <c r="M148" s="112"/>
      <c r="N148" s="112"/>
      <c r="O148" s="112" t="str">
        <f t="shared" si="3"/>
        <v>-255</v>
      </c>
      <c r="P148" s="112" t="s">
        <v>2067</v>
      </c>
      <c r="Q148" s="112" t="s">
        <v>1065</v>
      </c>
      <c r="R148" s="112"/>
      <c r="S148" s="112"/>
      <c r="T148" s="112"/>
    </row>
    <row r="149" spans="1:20" ht="12.75" customHeight="1">
      <c r="A149" s="144" t="str">
        <f>_xlfn.XLOOKUP(B149,Summary!B:B,Summary!C:C,"")</f>
        <v>Antminer S21</v>
      </c>
      <c r="B149" s="131" t="s">
        <v>348</v>
      </c>
      <c r="C149" s="171" t="s">
        <v>2213</v>
      </c>
      <c r="D149" s="131" t="s">
        <v>2214</v>
      </c>
      <c r="E149" s="131" t="s">
        <v>2215</v>
      </c>
      <c r="F149" s="131" t="s">
        <v>2216</v>
      </c>
      <c r="G149" s="131" t="s">
        <v>2217</v>
      </c>
      <c r="H149" s="131" t="s">
        <v>2218</v>
      </c>
      <c r="I149" s="131" t="s">
        <v>2219</v>
      </c>
      <c r="J149" s="131" t="s">
        <v>2220</v>
      </c>
      <c r="K149" s="131" t="s">
        <v>2221</v>
      </c>
      <c r="L149" s="112">
        <f>_xlfn.XLOOKUP(B149,Summary!B:B,Summary!G:G)</f>
        <v>4</v>
      </c>
      <c r="M149" s="112"/>
      <c r="N149" s="112"/>
      <c r="O149" s="112" t="str">
        <f t="shared" si="3"/>
        <v>-255</v>
      </c>
      <c r="P149" s="112" t="s">
        <v>2067</v>
      </c>
      <c r="Q149" s="112" t="s">
        <v>1065</v>
      </c>
      <c r="R149" s="112"/>
      <c r="S149" s="112"/>
      <c r="T149" s="112"/>
    </row>
    <row r="150" spans="1:20" ht="12.75" customHeight="1">
      <c r="A150" s="144" t="str">
        <f>_xlfn.XLOOKUP(B150,Summary!B:B,Summary!C:C,"")</f>
        <v>Antminer S21</v>
      </c>
      <c r="B150" s="131" t="s">
        <v>349</v>
      </c>
      <c r="C150" s="171" t="s">
        <v>2222</v>
      </c>
      <c r="D150" s="131" t="s">
        <v>2223</v>
      </c>
      <c r="E150" s="131" t="s">
        <v>2224</v>
      </c>
      <c r="F150" s="131" t="s">
        <v>2225</v>
      </c>
      <c r="G150" s="131" t="s">
        <v>2226</v>
      </c>
      <c r="H150" s="131" t="s">
        <v>2227</v>
      </c>
      <c r="I150" s="131" t="s">
        <v>2228</v>
      </c>
      <c r="J150" s="131" t="s">
        <v>2229</v>
      </c>
      <c r="K150" s="131" t="s">
        <v>2230</v>
      </c>
      <c r="L150" s="112">
        <f>_xlfn.XLOOKUP(B150,Summary!B:B,Summary!G:G)</f>
        <v>4</v>
      </c>
      <c r="M150" s="112"/>
      <c r="N150" s="112"/>
      <c r="O150" s="112" t="str">
        <f t="shared" si="3"/>
        <v>-255</v>
      </c>
      <c r="P150" s="112" t="s">
        <v>2067</v>
      </c>
      <c r="Q150" s="112" t="s">
        <v>1065</v>
      </c>
      <c r="R150" s="112"/>
      <c r="S150" s="112"/>
      <c r="T150" s="112"/>
    </row>
    <row r="151" spans="1:20" ht="12.75" customHeight="1">
      <c r="A151" s="144" t="str">
        <f>_xlfn.XLOOKUP(B151,Summary!B:B,Summary!C:C,"")</f>
        <v>Antminer S21</v>
      </c>
      <c r="B151" s="131" t="s">
        <v>351</v>
      </c>
      <c r="C151" s="171" t="s">
        <v>2231</v>
      </c>
      <c r="D151" s="131" t="s">
        <v>2232</v>
      </c>
      <c r="E151" s="131" t="s">
        <v>2233</v>
      </c>
      <c r="F151" s="131" t="s">
        <v>2234</v>
      </c>
      <c r="G151" s="131" t="s">
        <v>2235</v>
      </c>
      <c r="H151" s="131" t="s">
        <v>2236</v>
      </c>
      <c r="I151" s="131" t="s">
        <v>2237</v>
      </c>
      <c r="J151" s="131" t="s">
        <v>2238</v>
      </c>
      <c r="K151" s="131" t="s">
        <v>2239</v>
      </c>
      <c r="L151" s="112">
        <f>_xlfn.XLOOKUP(B151,Summary!B:B,Summary!G:G)</f>
        <v>4</v>
      </c>
      <c r="M151" s="112"/>
      <c r="N151" s="112"/>
      <c r="O151" s="112" t="str">
        <f t="shared" si="3"/>
        <v>-255</v>
      </c>
      <c r="P151" s="112" t="s">
        <v>2067</v>
      </c>
      <c r="Q151" s="112" t="s">
        <v>1065</v>
      </c>
      <c r="R151" s="112"/>
      <c r="S151" s="112"/>
      <c r="T151" s="112"/>
    </row>
    <row r="152" spans="1:20" ht="12.75" customHeight="1">
      <c r="A152" s="144" t="str">
        <f>_xlfn.XLOOKUP(B152,Summary!B:B,Summary!C:C,"")</f>
        <v>Antminer S21</v>
      </c>
      <c r="B152" s="131" t="s">
        <v>352</v>
      </c>
      <c r="C152" s="171" t="s">
        <v>2240</v>
      </c>
      <c r="D152" s="131" t="s">
        <v>2241</v>
      </c>
      <c r="E152" s="131" t="s">
        <v>2242</v>
      </c>
      <c r="F152" s="131" t="s">
        <v>2243</v>
      </c>
      <c r="G152" s="131" t="s">
        <v>2244</v>
      </c>
      <c r="H152" s="131" t="s">
        <v>2245</v>
      </c>
      <c r="I152" s="131" t="s">
        <v>2246</v>
      </c>
      <c r="J152" s="131" t="s">
        <v>2247</v>
      </c>
      <c r="K152" s="131" t="s">
        <v>2248</v>
      </c>
      <c r="L152" s="112">
        <f>_xlfn.XLOOKUP(B152,Summary!B:B,Summary!G:G)</f>
        <v>4</v>
      </c>
      <c r="M152" s="112"/>
      <c r="N152" s="112"/>
      <c r="O152" s="112" t="str">
        <f t="shared" si="3"/>
        <v>-255</v>
      </c>
      <c r="P152" s="112" t="s">
        <v>2067</v>
      </c>
      <c r="Q152" s="112" t="s">
        <v>1065</v>
      </c>
      <c r="R152" s="112"/>
      <c r="S152" s="112"/>
      <c r="T152" s="112"/>
    </row>
    <row r="153" spans="1:20" ht="12.75" customHeight="1">
      <c r="A153" s="144" t="str">
        <f>_xlfn.XLOOKUP(B153,Summary!B:B,Summary!C:C,"")</f>
        <v>Antminer S21</v>
      </c>
      <c r="B153" s="131" t="s">
        <v>355</v>
      </c>
      <c r="C153" s="171" t="s">
        <v>2249</v>
      </c>
      <c r="D153" s="131" t="s">
        <v>2250</v>
      </c>
      <c r="E153" s="131" t="s">
        <v>2251</v>
      </c>
      <c r="F153" s="131" t="s">
        <v>2252</v>
      </c>
      <c r="G153" s="131" t="s">
        <v>2253</v>
      </c>
      <c r="H153" s="131" t="s">
        <v>2254</v>
      </c>
      <c r="I153" s="131" t="s">
        <v>2255</v>
      </c>
      <c r="J153" s="131" t="s">
        <v>2256</v>
      </c>
      <c r="K153" s="131" t="s">
        <v>2257</v>
      </c>
      <c r="L153" s="112">
        <f>_xlfn.XLOOKUP(B153,Summary!B:B,Summary!G:G)</f>
        <v>4</v>
      </c>
      <c r="M153" s="112"/>
      <c r="N153" s="112"/>
      <c r="O153" s="112" t="str">
        <f t="shared" si="3"/>
        <v>-255</v>
      </c>
      <c r="P153" s="112" t="s">
        <v>2067</v>
      </c>
      <c r="Q153" s="112" t="s">
        <v>1065</v>
      </c>
      <c r="R153" s="112"/>
      <c r="S153" s="112"/>
      <c r="T153" s="112"/>
    </row>
    <row r="154" spans="1:20" ht="12.75" customHeight="1">
      <c r="A154" s="144" t="str">
        <f>_xlfn.XLOOKUP(B154,Summary!B:B,Summary!C:C,"")</f>
        <v>Antminer S21</v>
      </c>
      <c r="B154" s="131" t="s">
        <v>356</v>
      </c>
      <c r="C154" s="171" t="s">
        <v>2258</v>
      </c>
      <c r="D154" s="131" t="s">
        <v>2259</v>
      </c>
      <c r="E154" s="131" t="s">
        <v>2260</v>
      </c>
      <c r="F154" s="131" t="s">
        <v>2261</v>
      </c>
      <c r="G154" s="131" t="s">
        <v>2262</v>
      </c>
      <c r="H154" s="131" t="s">
        <v>2263</v>
      </c>
      <c r="I154" s="131" t="s">
        <v>2264</v>
      </c>
      <c r="J154" s="131" t="s">
        <v>2265</v>
      </c>
      <c r="K154" s="131" t="s">
        <v>2266</v>
      </c>
      <c r="L154" s="112">
        <f>_xlfn.XLOOKUP(B154,Summary!B:B,Summary!G:G)</f>
        <v>4</v>
      </c>
      <c r="M154" s="112"/>
      <c r="N154" s="112"/>
      <c r="O154" s="112" t="str">
        <f t="shared" si="3"/>
        <v>-255</v>
      </c>
      <c r="P154" s="112" t="s">
        <v>2067</v>
      </c>
      <c r="Q154" s="112" t="s">
        <v>1065</v>
      </c>
      <c r="R154" s="112"/>
      <c r="S154" s="112"/>
      <c r="T154" s="112"/>
    </row>
    <row r="155" spans="1:20" ht="12.75" customHeight="1">
      <c r="A155" s="144" t="str">
        <f>_xlfn.XLOOKUP(B155,Summary!B:B,Summary!C:C,"")</f>
        <v>Antminer S21</v>
      </c>
      <c r="B155" s="131" t="s">
        <v>358</v>
      </c>
      <c r="C155" s="171" t="s">
        <v>2267</v>
      </c>
      <c r="D155" s="131" t="s">
        <v>2268</v>
      </c>
      <c r="E155" s="131" t="s">
        <v>2269</v>
      </c>
      <c r="F155" s="131" t="s">
        <v>2270</v>
      </c>
      <c r="G155" s="131" t="s">
        <v>2271</v>
      </c>
      <c r="H155" s="131" t="s">
        <v>2272</v>
      </c>
      <c r="I155" s="131" t="s">
        <v>2273</v>
      </c>
      <c r="J155" s="131" t="s">
        <v>2274</v>
      </c>
      <c r="K155" s="131" t="s">
        <v>2275</v>
      </c>
      <c r="L155" s="112">
        <f>_xlfn.XLOOKUP(B155,Summary!B:B,Summary!G:G)</f>
        <v>4</v>
      </c>
      <c r="M155" s="112"/>
      <c r="N155" s="112"/>
      <c r="O155" s="112" t="str">
        <f t="shared" si="3"/>
        <v>-255</v>
      </c>
      <c r="P155" s="112" t="s">
        <v>2067</v>
      </c>
      <c r="Q155" s="112" t="s">
        <v>1065</v>
      </c>
      <c r="R155" s="112"/>
      <c r="S155" s="112"/>
      <c r="T155" s="112"/>
    </row>
    <row r="156" spans="1:20" ht="12.75" customHeight="1">
      <c r="A156" s="144" t="str">
        <f>_xlfn.XLOOKUP(B156,Summary!B:B,Summary!C:C,"")</f>
        <v>Antminer S21</v>
      </c>
      <c r="B156" s="131" t="s">
        <v>359</v>
      </c>
      <c r="C156" s="171" t="s">
        <v>2276</v>
      </c>
      <c r="D156" s="131" t="s">
        <v>2277</v>
      </c>
      <c r="E156" s="131" t="s">
        <v>2278</v>
      </c>
      <c r="F156" s="131" t="s">
        <v>2279</v>
      </c>
      <c r="G156" s="131" t="s">
        <v>2280</v>
      </c>
      <c r="H156" s="131" t="s">
        <v>2281</v>
      </c>
      <c r="I156" s="131" t="s">
        <v>2282</v>
      </c>
      <c r="J156" s="131" t="s">
        <v>2283</v>
      </c>
      <c r="K156" s="131" t="s">
        <v>2284</v>
      </c>
      <c r="L156" s="112">
        <f>_xlfn.XLOOKUP(B156,Summary!B:B,Summary!G:G)</f>
        <v>4</v>
      </c>
      <c r="M156" s="112"/>
      <c r="N156" s="112"/>
      <c r="O156" s="112" t="str">
        <f t="shared" si="3"/>
        <v>-255</v>
      </c>
      <c r="P156" s="112" t="s">
        <v>2067</v>
      </c>
      <c r="Q156" s="112" t="s">
        <v>1065</v>
      </c>
      <c r="R156" s="112"/>
      <c r="S156" s="112"/>
      <c r="T156" s="112"/>
    </row>
    <row r="157" spans="1:20" ht="12.75" customHeight="1">
      <c r="A157" s="144" t="str">
        <f>_xlfn.XLOOKUP(B157,Summary!B:B,Summary!C:C,"")</f>
        <v>Antminer S21</v>
      </c>
      <c r="B157" s="131" t="s">
        <v>361</v>
      </c>
      <c r="C157" s="171" t="s">
        <v>2285</v>
      </c>
      <c r="D157" s="131" t="s">
        <v>2286</v>
      </c>
      <c r="E157" s="131" t="s">
        <v>2287</v>
      </c>
      <c r="F157" s="131" t="s">
        <v>2288</v>
      </c>
      <c r="G157" s="131" t="s">
        <v>2289</v>
      </c>
      <c r="H157" s="131" t="s">
        <v>2290</v>
      </c>
      <c r="I157" s="131" t="s">
        <v>2291</v>
      </c>
      <c r="J157" s="131" t="s">
        <v>2292</v>
      </c>
      <c r="K157" s="131" t="s">
        <v>2293</v>
      </c>
      <c r="L157" s="112">
        <f>_xlfn.XLOOKUP(B157,Summary!B:B,Summary!G:G)</f>
        <v>4</v>
      </c>
      <c r="M157" s="112"/>
      <c r="N157" s="112"/>
      <c r="O157" s="112" t="str">
        <f t="shared" si="3"/>
        <v>-255</v>
      </c>
      <c r="P157" s="112" t="s">
        <v>2067</v>
      </c>
      <c r="Q157" s="112" t="s">
        <v>1065</v>
      </c>
      <c r="R157" s="112"/>
      <c r="S157" s="112"/>
      <c r="T157" s="112"/>
    </row>
    <row r="158" spans="1:20" ht="12.75" customHeight="1">
      <c r="A158" s="144" t="str">
        <f>_xlfn.XLOOKUP(B158,Summary!B:B,Summary!C:C,"")</f>
        <v>Antminer S21</v>
      </c>
      <c r="B158" s="131" t="s">
        <v>362</v>
      </c>
      <c r="C158" s="171" t="s">
        <v>2294</v>
      </c>
      <c r="D158" s="131" t="s">
        <v>2295</v>
      </c>
      <c r="E158" s="131" t="s">
        <v>2296</v>
      </c>
      <c r="F158" s="131" t="s">
        <v>2297</v>
      </c>
      <c r="G158" s="131" t="s">
        <v>2298</v>
      </c>
      <c r="H158" s="131" t="s">
        <v>2299</v>
      </c>
      <c r="I158" s="131" t="s">
        <v>2300</v>
      </c>
      <c r="J158" s="131" t="s">
        <v>2301</v>
      </c>
      <c r="K158" s="131" t="s">
        <v>2302</v>
      </c>
      <c r="L158" s="112">
        <f>_xlfn.XLOOKUP(B158,Summary!B:B,Summary!G:G)</f>
        <v>4</v>
      </c>
      <c r="M158" s="112"/>
      <c r="N158" s="112"/>
      <c r="O158" s="112" t="str">
        <f t="shared" si="3"/>
        <v>-255</v>
      </c>
      <c r="P158" s="112" t="s">
        <v>2067</v>
      </c>
      <c r="Q158" s="112" t="s">
        <v>1065</v>
      </c>
      <c r="R158" s="112"/>
      <c r="S158" s="112"/>
      <c r="T158" s="112"/>
    </row>
    <row r="159" spans="1:20" ht="12.75" customHeight="1">
      <c r="A159" s="144" t="str">
        <f>_xlfn.XLOOKUP(B159,Summary!B:B,Summary!C:C,"")</f>
        <v>Antminer S21</v>
      </c>
      <c r="B159" s="131" t="s">
        <v>364</v>
      </c>
      <c r="C159" s="171" t="s">
        <v>2303</v>
      </c>
      <c r="D159" s="131" t="s">
        <v>2304</v>
      </c>
      <c r="E159" s="131" t="s">
        <v>2305</v>
      </c>
      <c r="F159" s="131" t="s">
        <v>2306</v>
      </c>
      <c r="G159" s="131" t="s">
        <v>2307</v>
      </c>
      <c r="H159" s="131" t="s">
        <v>2308</v>
      </c>
      <c r="I159" s="131" t="s">
        <v>2309</v>
      </c>
      <c r="J159" s="131" t="s">
        <v>2310</v>
      </c>
      <c r="K159" s="131" t="s">
        <v>2311</v>
      </c>
      <c r="L159" s="112">
        <f>_xlfn.XLOOKUP(B159,Summary!B:B,Summary!G:G)</f>
        <v>4</v>
      </c>
      <c r="M159" s="112"/>
      <c r="N159" s="112"/>
      <c r="O159" s="112" t="str">
        <f t="shared" ref="O159:O222" si="4">N159&amp;"-255"</f>
        <v>-255</v>
      </c>
      <c r="P159" s="112" t="s">
        <v>2067</v>
      </c>
      <c r="Q159" s="112" t="s">
        <v>1065</v>
      </c>
      <c r="R159" s="112"/>
      <c r="S159" s="112"/>
      <c r="T159" s="112"/>
    </row>
    <row r="160" spans="1:20" ht="12.75" customHeight="1">
      <c r="A160" s="253" t="str">
        <f>_xlfn.XLOOKUP(B160,Summary!B:B,Summary!C:C,"")</f>
        <v>Antminer S21</v>
      </c>
      <c r="B160" s="254" t="s">
        <v>365</v>
      </c>
      <c r="C160" s="255" t="s">
        <v>2312</v>
      </c>
      <c r="D160" s="254" t="s">
        <v>2313</v>
      </c>
      <c r="E160" s="254" t="s">
        <v>2314</v>
      </c>
      <c r="F160" s="254" t="s">
        <v>2315</v>
      </c>
      <c r="G160" s="254" t="s">
        <v>2316</v>
      </c>
      <c r="H160" s="254" t="s">
        <v>2317</v>
      </c>
      <c r="I160" s="254" t="s">
        <v>2318</v>
      </c>
      <c r="J160" s="254" t="s">
        <v>2319</v>
      </c>
      <c r="K160" s="254" t="s">
        <v>2320</v>
      </c>
      <c r="L160" s="112">
        <f>_xlfn.XLOOKUP(B160,Summary!B:B,Summary!G:G)</f>
        <v>4</v>
      </c>
      <c r="M160" s="112"/>
      <c r="N160" s="112"/>
      <c r="O160" s="112" t="str">
        <f t="shared" si="4"/>
        <v>-255</v>
      </c>
      <c r="P160" s="112" t="s">
        <v>2067</v>
      </c>
      <c r="Q160" s="112" t="s">
        <v>1065</v>
      </c>
      <c r="R160" s="112"/>
      <c r="S160" s="179" t="s">
        <v>2068</v>
      </c>
      <c r="T160" s="112"/>
    </row>
    <row r="161" spans="1:20" ht="12.75" customHeight="1">
      <c r="A161" s="253" t="str">
        <f>_xlfn.XLOOKUP(B161,Summary!B:B,Summary!C:C,"")</f>
        <v>Antminer S21</v>
      </c>
      <c r="B161" s="254" t="s">
        <v>367</v>
      </c>
      <c r="C161" s="255" t="s">
        <v>2321</v>
      </c>
      <c r="D161" s="254" t="s">
        <v>2322</v>
      </c>
      <c r="E161" s="254" t="s">
        <v>2323</v>
      </c>
      <c r="F161" s="254" t="s">
        <v>2324</v>
      </c>
      <c r="G161" s="254" t="s">
        <v>2325</v>
      </c>
      <c r="H161" s="254" t="s">
        <v>2326</v>
      </c>
      <c r="I161" s="254" t="s">
        <v>2327</v>
      </c>
      <c r="J161" s="254" t="s">
        <v>2328</v>
      </c>
      <c r="K161" s="254" t="s">
        <v>2329</v>
      </c>
      <c r="L161" s="112">
        <f>_xlfn.XLOOKUP(B161,Summary!B:B,Summary!G:G)</f>
        <v>4</v>
      </c>
      <c r="M161" s="112"/>
      <c r="N161" s="112"/>
      <c r="O161" s="112" t="str">
        <f t="shared" si="4"/>
        <v>-255</v>
      </c>
      <c r="P161" s="112" t="s">
        <v>2067</v>
      </c>
      <c r="Q161" s="112" t="s">
        <v>1065</v>
      </c>
      <c r="R161" s="112"/>
      <c r="S161" s="179" t="s">
        <v>2068</v>
      </c>
      <c r="T161" s="112"/>
    </row>
    <row r="162" spans="1:20" ht="12.75" customHeight="1">
      <c r="A162" s="144" t="str">
        <f>_xlfn.XLOOKUP(B162,Summary!B:B,Summary!C:C,"")</f>
        <v>Antminer S21</v>
      </c>
      <c r="B162" s="131" t="s">
        <v>368</v>
      </c>
      <c r="C162" s="171" t="s">
        <v>2330</v>
      </c>
      <c r="D162" s="131" t="s">
        <v>2331</v>
      </c>
      <c r="E162" s="131" t="s">
        <v>2332</v>
      </c>
      <c r="F162" s="131" t="s">
        <v>2333</v>
      </c>
      <c r="G162" s="131" t="s">
        <v>2334</v>
      </c>
      <c r="H162" s="131" t="s">
        <v>2335</v>
      </c>
      <c r="I162" s="131" t="s">
        <v>2336</v>
      </c>
      <c r="J162" s="131" t="s">
        <v>2337</v>
      </c>
      <c r="K162" s="131" t="s">
        <v>2338</v>
      </c>
      <c r="L162" s="112">
        <f>_xlfn.XLOOKUP(B162,Summary!B:B,Summary!G:G)</f>
        <v>4</v>
      </c>
      <c r="M162" s="112"/>
      <c r="N162" s="112"/>
      <c r="O162" s="112" t="str">
        <f t="shared" si="4"/>
        <v>-255</v>
      </c>
      <c r="P162" s="112" t="s">
        <v>2067</v>
      </c>
      <c r="Q162" s="112" t="s">
        <v>1065</v>
      </c>
      <c r="R162" s="112"/>
      <c r="S162" s="112"/>
      <c r="T162" s="112"/>
    </row>
    <row r="163" spans="1:20" ht="12.75" customHeight="1">
      <c r="A163" s="144" t="str">
        <f>_xlfn.XLOOKUP(B163,Summary!B:B,Summary!C:C,"")</f>
        <v>Antminer S21</v>
      </c>
      <c r="B163" s="131" t="s">
        <v>370</v>
      </c>
      <c r="C163" s="171" t="s">
        <v>2339</v>
      </c>
      <c r="D163" s="131" t="s">
        <v>2340</v>
      </c>
      <c r="E163" s="131" t="s">
        <v>2341</v>
      </c>
      <c r="F163" s="131" t="s">
        <v>2342</v>
      </c>
      <c r="G163" s="131" t="s">
        <v>2343</v>
      </c>
      <c r="H163" s="131" t="s">
        <v>2344</v>
      </c>
      <c r="I163" s="131" t="s">
        <v>2345</v>
      </c>
      <c r="J163" s="131" t="s">
        <v>2346</v>
      </c>
      <c r="K163" s="131" t="s">
        <v>2347</v>
      </c>
      <c r="L163" s="112">
        <f>_xlfn.XLOOKUP(B163,Summary!B:B,Summary!G:G)</f>
        <v>4</v>
      </c>
      <c r="M163" s="112"/>
      <c r="N163" s="112"/>
      <c r="O163" s="112" t="str">
        <f t="shared" si="4"/>
        <v>-255</v>
      </c>
      <c r="P163" s="112" t="s">
        <v>2067</v>
      </c>
      <c r="Q163" s="112" t="s">
        <v>1065</v>
      </c>
      <c r="R163" s="112"/>
      <c r="S163" s="112"/>
      <c r="T163" s="112"/>
    </row>
    <row r="164" spans="1:20" ht="12.75" customHeight="1">
      <c r="A164" s="253" t="str">
        <f>_xlfn.XLOOKUP(B164,Summary!B:B,Summary!C:C,"")</f>
        <v>Antminer S21</v>
      </c>
      <c r="B164" s="254" t="s">
        <v>371</v>
      </c>
      <c r="C164" s="255" t="s">
        <v>2348</v>
      </c>
      <c r="D164" s="254" t="s">
        <v>2349</v>
      </c>
      <c r="E164" s="254" t="s">
        <v>2350</v>
      </c>
      <c r="F164" s="254" t="s">
        <v>2351</v>
      </c>
      <c r="G164" s="254" t="s">
        <v>2352</v>
      </c>
      <c r="H164" s="254" t="s">
        <v>2353</v>
      </c>
      <c r="I164" s="254" t="s">
        <v>2354</v>
      </c>
      <c r="J164" s="254" t="s">
        <v>2355</v>
      </c>
      <c r="K164" s="254" t="s">
        <v>2356</v>
      </c>
      <c r="L164" s="112">
        <f>_xlfn.XLOOKUP(B164,Summary!B:B,Summary!G:G)</f>
        <v>4</v>
      </c>
      <c r="M164" s="112"/>
      <c r="N164" s="112"/>
      <c r="O164" s="112" t="str">
        <f t="shared" si="4"/>
        <v>-255</v>
      </c>
      <c r="P164" s="112" t="s">
        <v>2067</v>
      </c>
      <c r="Q164" s="112" t="s">
        <v>1065</v>
      </c>
      <c r="R164" s="112"/>
      <c r="S164" s="179" t="s">
        <v>2068</v>
      </c>
      <c r="T164" s="112"/>
    </row>
    <row r="165" spans="1:20" ht="12.75" customHeight="1">
      <c r="A165" s="253" t="str">
        <f>_xlfn.XLOOKUP(B165,Summary!B:B,Summary!C:C,"")</f>
        <v>Antminer S21</v>
      </c>
      <c r="B165" s="254" t="s">
        <v>373</v>
      </c>
      <c r="C165" s="255" t="s">
        <v>2357</v>
      </c>
      <c r="D165" s="254" t="s">
        <v>2358</v>
      </c>
      <c r="E165" s="254" t="s">
        <v>2359</v>
      </c>
      <c r="F165" s="254" t="s">
        <v>2360</v>
      </c>
      <c r="G165" s="254" t="s">
        <v>2361</v>
      </c>
      <c r="H165" s="254" t="s">
        <v>2362</v>
      </c>
      <c r="I165" s="254" t="s">
        <v>2363</v>
      </c>
      <c r="J165" s="254" t="s">
        <v>2364</v>
      </c>
      <c r="K165" s="254" t="s">
        <v>2365</v>
      </c>
      <c r="L165" s="112">
        <f>_xlfn.XLOOKUP(B165,Summary!B:B,Summary!G:G)</f>
        <v>4</v>
      </c>
      <c r="M165" s="112"/>
      <c r="N165" s="112"/>
      <c r="O165" s="112" t="str">
        <f t="shared" si="4"/>
        <v>-255</v>
      </c>
      <c r="P165" s="112" t="s">
        <v>2067</v>
      </c>
      <c r="Q165" s="112" t="s">
        <v>1065</v>
      </c>
      <c r="R165" s="112"/>
      <c r="S165" s="179" t="s">
        <v>2068</v>
      </c>
      <c r="T165" s="112"/>
    </row>
    <row r="166" spans="1:20" ht="12.75" customHeight="1">
      <c r="A166" s="144" t="str">
        <f>_xlfn.XLOOKUP(B166,Summary!B:B,Summary!C:C,"")</f>
        <v>Antminer S21</v>
      </c>
      <c r="B166" s="131" t="s">
        <v>374</v>
      </c>
      <c r="C166" s="171" t="s">
        <v>2366</v>
      </c>
      <c r="D166" s="131" t="s">
        <v>2367</v>
      </c>
      <c r="E166" s="131" t="s">
        <v>2368</v>
      </c>
      <c r="F166" s="131" t="s">
        <v>2369</v>
      </c>
      <c r="G166" s="131" t="s">
        <v>2370</v>
      </c>
      <c r="H166" s="131" t="s">
        <v>2371</v>
      </c>
      <c r="I166" s="131" t="s">
        <v>2372</v>
      </c>
      <c r="J166" s="131" t="s">
        <v>2373</v>
      </c>
      <c r="K166" s="131" t="s">
        <v>2374</v>
      </c>
      <c r="L166" s="112">
        <f>_xlfn.XLOOKUP(B166,Summary!B:B,Summary!G:G)</f>
        <v>4</v>
      </c>
      <c r="M166" s="112"/>
      <c r="N166" s="112"/>
      <c r="O166" s="112" t="str">
        <f t="shared" si="4"/>
        <v>-255</v>
      </c>
      <c r="P166" s="112" t="s">
        <v>2067</v>
      </c>
      <c r="Q166" s="112" t="s">
        <v>1065</v>
      </c>
      <c r="R166" s="112"/>
      <c r="S166" s="112"/>
      <c r="T166" s="112"/>
    </row>
    <row r="167" spans="1:20" ht="12.75" customHeight="1">
      <c r="A167" s="144" t="str">
        <f>_xlfn.XLOOKUP(B167,Summary!B:B,Summary!C:C,"")</f>
        <v>Antminer S21</v>
      </c>
      <c r="B167" s="131" t="s">
        <v>377</v>
      </c>
      <c r="C167" s="171" t="s">
        <v>2375</v>
      </c>
      <c r="D167" s="131" t="s">
        <v>2376</v>
      </c>
      <c r="E167" s="131" t="s">
        <v>2377</v>
      </c>
      <c r="F167" s="131" t="s">
        <v>2378</v>
      </c>
      <c r="G167" s="131" t="s">
        <v>2379</v>
      </c>
      <c r="H167" s="131" t="s">
        <v>2380</v>
      </c>
      <c r="I167" s="131" t="s">
        <v>2381</v>
      </c>
      <c r="J167" s="131" t="s">
        <v>2382</v>
      </c>
      <c r="K167" s="131" t="s">
        <v>2383</v>
      </c>
      <c r="L167" s="112">
        <f>_xlfn.XLOOKUP(B167,Summary!B:B,Summary!G:G)</f>
        <v>4</v>
      </c>
      <c r="M167" s="112"/>
      <c r="N167" s="112"/>
      <c r="O167" s="112" t="str">
        <f t="shared" si="4"/>
        <v>-255</v>
      </c>
      <c r="P167" s="112" t="s">
        <v>2067</v>
      </c>
      <c r="Q167" s="112" t="s">
        <v>1065</v>
      </c>
      <c r="R167" s="112"/>
      <c r="S167" s="112"/>
      <c r="T167" s="112"/>
    </row>
    <row r="168" spans="1:20" ht="12.75" customHeight="1">
      <c r="A168" s="144" t="str">
        <f>_xlfn.XLOOKUP(B168,Summary!B:B,Summary!C:C,"")</f>
        <v>Antminer S21</v>
      </c>
      <c r="B168" s="131" t="s">
        <v>378</v>
      </c>
      <c r="C168" s="171" t="s">
        <v>2384</v>
      </c>
      <c r="D168" s="131" t="s">
        <v>2385</v>
      </c>
      <c r="E168" s="131" t="s">
        <v>2386</v>
      </c>
      <c r="F168" s="131" t="s">
        <v>2387</v>
      </c>
      <c r="G168" s="131" t="s">
        <v>2388</v>
      </c>
      <c r="H168" s="131" t="s">
        <v>2389</v>
      </c>
      <c r="I168" s="131" t="s">
        <v>2390</v>
      </c>
      <c r="J168" s="131" t="s">
        <v>2391</v>
      </c>
      <c r="K168" s="131" t="s">
        <v>2392</v>
      </c>
      <c r="L168" s="112">
        <f>_xlfn.XLOOKUP(B168,Summary!B:B,Summary!G:G)</f>
        <v>4</v>
      </c>
      <c r="M168" s="112"/>
      <c r="N168" s="112"/>
      <c r="O168" s="112" t="str">
        <f t="shared" si="4"/>
        <v>-255</v>
      </c>
      <c r="P168" s="112" t="s">
        <v>2067</v>
      </c>
      <c r="Q168" s="112" t="s">
        <v>1065</v>
      </c>
      <c r="R168" s="112"/>
      <c r="S168" s="112"/>
      <c r="T168" s="112"/>
    </row>
    <row r="169" spans="1:20" ht="12.75" customHeight="1">
      <c r="A169" s="144" t="str">
        <f>_xlfn.XLOOKUP(B169,Summary!B:B,Summary!C:C,"")</f>
        <v>Antminer S21</v>
      </c>
      <c r="B169" s="131" t="s">
        <v>380</v>
      </c>
      <c r="C169" s="171" t="s">
        <v>2393</v>
      </c>
      <c r="D169" s="131" t="s">
        <v>2394</v>
      </c>
      <c r="E169" s="131" t="s">
        <v>2395</v>
      </c>
      <c r="F169" s="131" t="s">
        <v>2396</v>
      </c>
      <c r="G169" s="131" t="s">
        <v>2397</v>
      </c>
      <c r="H169" s="131" t="s">
        <v>2398</v>
      </c>
      <c r="I169" s="131" t="s">
        <v>2399</v>
      </c>
      <c r="J169" s="131" t="s">
        <v>2400</v>
      </c>
      <c r="K169" s="131" t="s">
        <v>2401</v>
      </c>
      <c r="L169" s="112">
        <f>_xlfn.XLOOKUP(B169,Summary!B:B,Summary!G:G)</f>
        <v>4</v>
      </c>
      <c r="M169" s="112"/>
      <c r="N169" s="112"/>
      <c r="O169" s="112" t="str">
        <f t="shared" si="4"/>
        <v>-255</v>
      </c>
      <c r="P169" s="112" t="s">
        <v>2067</v>
      </c>
      <c r="Q169" s="112" t="s">
        <v>1065</v>
      </c>
      <c r="R169" s="112"/>
      <c r="S169" s="112"/>
      <c r="T169" s="112"/>
    </row>
    <row r="170" spans="1:20" ht="12.75" customHeight="1">
      <c r="A170" s="144" t="str">
        <f>_xlfn.XLOOKUP(B170,Summary!B:B,Summary!C:C,"")</f>
        <v>Antminer S21</v>
      </c>
      <c r="B170" s="131" t="s">
        <v>381</v>
      </c>
      <c r="C170" s="171" t="s">
        <v>2402</v>
      </c>
      <c r="D170" s="131" t="s">
        <v>2403</v>
      </c>
      <c r="E170" s="131" t="s">
        <v>2404</v>
      </c>
      <c r="F170" s="131" t="s">
        <v>2405</v>
      </c>
      <c r="G170" s="131" t="s">
        <v>2406</v>
      </c>
      <c r="H170" s="131" t="s">
        <v>2407</v>
      </c>
      <c r="I170" s="131" t="s">
        <v>2408</v>
      </c>
      <c r="J170" s="131" t="s">
        <v>2409</v>
      </c>
      <c r="K170" s="131" t="s">
        <v>2410</v>
      </c>
      <c r="L170" s="112">
        <f>_xlfn.XLOOKUP(B170,Summary!B:B,Summary!G:G)</f>
        <v>4</v>
      </c>
      <c r="M170" s="112"/>
      <c r="N170" s="112"/>
      <c r="O170" s="112" t="str">
        <f t="shared" si="4"/>
        <v>-255</v>
      </c>
      <c r="P170" s="112" t="s">
        <v>2067</v>
      </c>
      <c r="Q170" s="112" t="s">
        <v>1065</v>
      </c>
      <c r="R170" s="112"/>
      <c r="S170" s="112"/>
      <c r="T170" s="112"/>
    </row>
    <row r="171" spans="1:20" ht="12.75" customHeight="1">
      <c r="A171" s="144" t="str">
        <f>_xlfn.XLOOKUP(B171,Summary!B:B,Summary!C:C,"")</f>
        <v>Antminer S21</v>
      </c>
      <c r="B171" s="131" t="s">
        <v>384</v>
      </c>
      <c r="C171" s="171" t="s">
        <v>2411</v>
      </c>
      <c r="D171" s="131" t="s">
        <v>2412</v>
      </c>
      <c r="E171" s="131" t="s">
        <v>2413</v>
      </c>
      <c r="F171" s="131" t="s">
        <v>2414</v>
      </c>
      <c r="G171" s="131" t="s">
        <v>2415</v>
      </c>
      <c r="H171" s="131" t="s">
        <v>2416</v>
      </c>
      <c r="I171" s="131" t="s">
        <v>2417</v>
      </c>
      <c r="J171" s="131" t="s">
        <v>2418</v>
      </c>
      <c r="K171" s="131" t="s">
        <v>2419</v>
      </c>
      <c r="L171" s="112">
        <f>_xlfn.XLOOKUP(B171,Summary!B:B,Summary!G:G)</f>
        <v>4</v>
      </c>
      <c r="M171" s="112"/>
      <c r="N171" s="112"/>
      <c r="O171" s="112" t="str">
        <f t="shared" si="4"/>
        <v>-255</v>
      </c>
      <c r="P171" s="112" t="s">
        <v>2067</v>
      </c>
      <c r="Q171" s="112" t="s">
        <v>1065</v>
      </c>
      <c r="R171" s="112"/>
      <c r="S171" s="112"/>
      <c r="T171" s="112"/>
    </row>
    <row r="172" spans="1:20" ht="12.75" customHeight="1">
      <c r="A172" s="162" t="str">
        <f>_xlfn.XLOOKUP(B172,Summary!B:B,Summary!C:C,"")</f>
        <v>Antminer S21</v>
      </c>
      <c r="B172" s="132" t="s">
        <v>385</v>
      </c>
      <c r="C172" s="172" t="s">
        <v>2420</v>
      </c>
      <c r="D172" s="132" t="s">
        <v>2421</v>
      </c>
      <c r="E172" s="132" t="s">
        <v>2422</v>
      </c>
      <c r="F172" s="132" t="s">
        <v>2423</v>
      </c>
      <c r="G172" s="132" t="s">
        <v>2424</v>
      </c>
      <c r="H172" s="132" t="s">
        <v>2425</v>
      </c>
      <c r="I172" s="132" t="s">
        <v>2426</v>
      </c>
      <c r="J172" s="132" t="s">
        <v>2427</v>
      </c>
      <c r="K172" s="132" t="s">
        <v>2428</v>
      </c>
      <c r="L172" s="112">
        <f>_xlfn.XLOOKUP(B172,Summary!B:B,Summary!G:G)</f>
        <v>5</v>
      </c>
      <c r="M172" s="112"/>
      <c r="N172" s="112"/>
      <c r="O172" s="112" t="str">
        <f t="shared" si="4"/>
        <v>-255</v>
      </c>
      <c r="P172" s="112" t="s">
        <v>952</v>
      </c>
      <c r="Q172" s="112" t="s">
        <v>1065</v>
      </c>
      <c r="R172" s="112"/>
      <c r="S172" s="112"/>
      <c r="T172" s="112"/>
    </row>
    <row r="173" spans="1:20" ht="12.75" customHeight="1">
      <c r="A173" s="162" t="str">
        <f>_xlfn.XLOOKUP(B173,Summary!B:B,Summary!C:C,"")</f>
        <v>Antminer S21</v>
      </c>
      <c r="B173" s="132" t="s">
        <v>390</v>
      </c>
      <c r="C173" s="172" t="s">
        <v>2429</v>
      </c>
      <c r="D173" s="132" t="s">
        <v>2430</v>
      </c>
      <c r="E173" s="132" t="s">
        <v>2431</v>
      </c>
      <c r="F173" s="132" t="s">
        <v>2432</v>
      </c>
      <c r="G173" s="132" t="s">
        <v>2433</v>
      </c>
      <c r="H173" s="132" t="s">
        <v>2434</v>
      </c>
      <c r="I173" s="132" t="s">
        <v>2435</v>
      </c>
      <c r="J173" s="132" t="s">
        <v>2436</v>
      </c>
      <c r="K173" s="132" t="s">
        <v>2437</v>
      </c>
      <c r="L173" s="112">
        <f>_xlfn.XLOOKUP(B173,Summary!B:B,Summary!G:G)</f>
        <v>5</v>
      </c>
      <c r="M173" s="112"/>
      <c r="N173" s="112"/>
      <c r="O173" s="112" t="str">
        <f t="shared" si="4"/>
        <v>-255</v>
      </c>
      <c r="P173" s="112" t="s">
        <v>952</v>
      </c>
      <c r="Q173" s="112" t="s">
        <v>1065</v>
      </c>
      <c r="R173" s="112"/>
      <c r="S173" s="112"/>
      <c r="T173" s="112"/>
    </row>
    <row r="174" spans="1:20" ht="12.75" customHeight="1">
      <c r="A174" s="162" t="str">
        <f>_xlfn.XLOOKUP(B174,Summary!B:B,Summary!C:C,"")</f>
        <v>Antminer S21</v>
      </c>
      <c r="B174" s="132" t="s">
        <v>391</v>
      </c>
      <c r="C174" s="172" t="s">
        <v>2438</v>
      </c>
      <c r="D174" s="132" t="s">
        <v>2439</v>
      </c>
      <c r="E174" s="132" t="s">
        <v>2440</v>
      </c>
      <c r="F174" s="132" t="s">
        <v>2441</v>
      </c>
      <c r="G174" s="132" t="s">
        <v>2442</v>
      </c>
      <c r="H174" s="132" t="s">
        <v>2443</v>
      </c>
      <c r="I174" s="132" t="s">
        <v>2444</v>
      </c>
      <c r="J174" s="132" t="s">
        <v>2445</v>
      </c>
      <c r="K174" s="132" t="s">
        <v>2446</v>
      </c>
      <c r="L174" s="112">
        <f>_xlfn.XLOOKUP(B174,Summary!B:B,Summary!G:G)</f>
        <v>5</v>
      </c>
      <c r="M174" s="112"/>
      <c r="N174" s="112"/>
      <c r="O174" s="112" t="str">
        <f t="shared" si="4"/>
        <v>-255</v>
      </c>
      <c r="P174" s="112" t="s">
        <v>952</v>
      </c>
      <c r="Q174" s="112" t="s">
        <v>1065</v>
      </c>
      <c r="R174" s="112"/>
      <c r="S174" s="112"/>
      <c r="T174" s="112"/>
    </row>
    <row r="175" spans="1:20" ht="12.75" customHeight="1">
      <c r="A175" s="162" t="str">
        <f>_xlfn.XLOOKUP(B175,Summary!B:B,Summary!C:C,"")</f>
        <v>Antminer S21</v>
      </c>
      <c r="B175" s="132" t="s">
        <v>394</v>
      </c>
      <c r="C175" s="172" t="s">
        <v>2447</v>
      </c>
      <c r="D175" s="132" t="s">
        <v>2448</v>
      </c>
      <c r="E175" s="132" t="s">
        <v>2449</v>
      </c>
      <c r="F175" s="132" t="s">
        <v>2450</v>
      </c>
      <c r="G175" s="132" t="s">
        <v>2451</v>
      </c>
      <c r="H175" s="132" t="s">
        <v>2452</v>
      </c>
      <c r="I175" s="132" t="s">
        <v>2453</v>
      </c>
      <c r="J175" s="132" t="s">
        <v>2454</v>
      </c>
      <c r="K175" s="132" t="s">
        <v>2455</v>
      </c>
      <c r="L175" s="112">
        <f>_xlfn.XLOOKUP(B175,Summary!B:B,Summary!G:G)</f>
        <v>5</v>
      </c>
      <c r="M175" s="112"/>
      <c r="N175" s="112"/>
      <c r="O175" s="112" t="str">
        <f t="shared" si="4"/>
        <v>-255</v>
      </c>
      <c r="P175" s="112" t="s">
        <v>952</v>
      </c>
      <c r="Q175" s="112" t="s">
        <v>1065</v>
      </c>
      <c r="R175" s="112"/>
      <c r="S175" s="112"/>
      <c r="T175" s="112"/>
    </row>
    <row r="176" spans="1:20" ht="12.75" customHeight="1">
      <c r="A176" s="162" t="str">
        <f>_xlfn.XLOOKUP(B176,Summary!B:B,Summary!C:C,"")</f>
        <v>Antminer S21</v>
      </c>
      <c r="B176" s="132" t="s">
        <v>395</v>
      </c>
      <c r="C176" s="172" t="s">
        <v>2456</v>
      </c>
      <c r="D176" s="132" t="s">
        <v>2457</v>
      </c>
      <c r="E176" s="132" t="s">
        <v>2458</v>
      </c>
      <c r="F176" s="132" t="s">
        <v>2459</v>
      </c>
      <c r="G176" s="132" t="s">
        <v>2460</v>
      </c>
      <c r="H176" s="132" t="s">
        <v>2461</v>
      </c>
      <c r="I176" s="132" t="s">
        <v>2462</v>
      </c>
      <c r="J176" s="132" t="s">
        <v>2463</v>
      </c>
      <c r="K176" s="132" t="s">
        <v>2464</v>
      </c>
      <c r="L176" s="112">
        <f>_xlfn.XLOOKUP(B176,Summary!B:B,Summary!G:G)</f>
        <v>5</v>
      </c>
      <c r="M176" s="112"/>
      <c r="N176" s="112"/>
      <c r="O176" s="112" t="str">
        <f t="shared" si="4"/>
        <v>-255</v>
      </c>
      <c r="P176" s="112" t="s">
        <v>952</v>
      </c>
      <c r="Q176" s="112" t="s">
        <v>1065</v>
      </c>
      <c r="R176" s="112"/>
      <c r="S176" s="112"/>
      <c r="T176" s="112"/>
    </row>
    <row r="177" spans="1:20" ht="12.75" customHeight="1">
      <c r="A177" s="162" t="str">
        <f>_xlfn.XLOOKUP(B177,Summary!B:B,Summary!C:C,"")</f>
        <v>Antminer S21</v>
      </c>
      <c r="B177" s="132" t="s">
        <v>398</v>
      </c>
      <c r="C177" s="172" t="s">
        <v>2465</v>
      </c>
      <c r="D177" s="132" t="s">
        <v>2466</v>
      </c>
      <c r="E177" s="132" t="s">
        <v>2467</v>
      </c>
      <c r="F177" s="132" t="s">
        <v>2468</v>
      </c>
      <c r="G177" s="132" t="s">
        <v>2469</v>
      </c>
      <c r="H177" s="132" t="s">
        <v>2470</v>
      </c>
      <c r="I177" s="132" t="s">
        <v>2471</v>
      </c>
      <c r="J177" s="132" t="s">
        <v>2472</v>
      </c>
      <c r="K177" s="132" t="s">
        <v>2473</v>
      </c>
      <c r="L177" s="112">
        <f>_xlfn.XLOOKUP(B177,Summary!B:B,Summary!G:G)</f>
        <v>5</v>
      </c>
      <c r="M177" s="112"/>
      <c r="N177" s="112"/>
      <c r="O177" s="112" t="str">
        <f t="shared" si="4"/>
        <v>-255</v>
      </c>
      <c r="P177" s="112" t="s">
        <v>952</v>
      </c>
      <c r="Q177" s="112" t="s">
        <v>1065</v>
      </c>
      <c r="R177" s="112"/>
      <c r="S177" s="112"/>
      <c r="T177" s="112"/>
    </row>
    <row r="178" spans="1:20" ht="12.75" customHeight="1">
      <c r="A178" s="162" t="str">
        <f>_xlfn.XLOOKUP(B178,Summary!B:B,Summary!C:C,"")</f>
        <v>Antminer S21</v>
      </c>
      <c r="B178" s="132" t="s">
        <v>399</v>
      </c>
      <c r="C178" s="172" t="s">
        <v>2474</v>
      </c>
      <c r="D178" s="132" t="s">
        <v>2475</v>
      </c>
      <c r="E178" s="132" t="s">
        <v>2476</v>
      </c>
      <c r="F178" s="132" t="s">
        <v>2477</v>
      </c>
      <c r="G178" s="132" t="s">
        <v>2478</v>
      </c>
      <c r="H178" s="132" t="s">
        <v>2479</v>
      </c>
      <c r="I178" s="132" t="s">
        <v>2480</v>
      </c>
      <c r="J178" s="132" t="s">
        <v>2481</v>
      </c>
      <c r="K178" s="132" t="s">
        <v>2482</v>
      </c>
      <c r="L178" s="112">
        <f>_xlfn.XLOOKUP(B178,Summary!B:B,Summary!G:G)</f>
        <v>5</v>
      </c>
      <c r="M178" s="112"/>
      <c r="N178" s="112"/>
      <c r="O178" s="112" t="str">
        <f t="shared" si="4"/>
        <v>-255</v>
      </c>
      <c r="P178" s="112" t="s">
        <v>952</v>
      </c>
      <c r="Q178" s="112" t="s">
        <v>1065</v>
      </c>
      <c r="R178" s="112"/>
      <c r="S178" s="112"/>
      <c r="T178" s="112"/>
    </row>
    <row r="179" spans="1:20" ht="12.75" customHeight="1">
      <c r="A179" s="162" t="str">
        <f>_xlfn.XLOOKUP(B179,Summary!B:B,Summary!C:C,"")</f>
        <v>Antminer S21</v>
      </c>
      <c r="B179" s="132" t="s">
        <v>402</v>
      </c>
      <c r="C179" s="172" t="s">
        <v>2483</v>
      </c>
      <c r="D179" s="132" t="s">
        <v>2484</v>
      </c>
      <c r="E179" s="132" t="s">
        <v>2485</v>
      </c>
      <c r="F179" s="132" t="s">
        <v>2486</v>
      </c>
      <c r="G179" s="132" t="s">
        <v>2487</v>
      </c>
      <c r="H179" s="132" t="s">
        <v>2488</v>
      </c>
      <c r="I179" s="132" t="s">
        <v>2489</v>
      </c>
      <c r="J179" s="132" t="s">
        <v>2490</v>
      </c>
      <c r="K179" s="132" t="s">
        <v>2491</v>
      </c>
      <c r="L179" s="112">
        <f>_xlfn.XLOOKUP(B179,Summary!B:B,Summary!G:G)</f>
        <v>5</v>
      </c>
      <c r="M179" s="112"/>
      <c r="N179" s="112"/>
      <c r="O179" s="112" t="str">
        <f t="shared" si="4"/>
        <v>-255</v>
      </c>
      <c r="P179" s="112" t="s">
        <v>952</v>
      </c>
      <c r="Q179" s="112" t="s">
        <v>1065</v>
      </c>
      <c r="R179" s="112"/>
      <c r="S179" s="112"/>
      <c r="T179" s="112"/>
    </row>
    <row r="180" spans="1:20" ht="12.75" customHeight="1">
      <c r="A180" s="162" t="str">
        <f>_xlfn.XLOOKUP(B180,Summary!B:B,Summary!C:C,"")</f>
        <v>Antminer S21</v>
      </c>
      <c r="B180" s="132" t="s">
        <v>403</v>
      </c>
      <c r="C180" s="172" t="s">
        <v>2492</v>
      </c>
      <c r="D180" s="132" t="s">
        <v>2493</v>
      </c>
      <c r="E180" s="132" t="s">
        <v>2494</v>
      </c>
      <c r="F180" s="132" t="s">
        <v>2495</v>
      </c>
      <c r="G180" s="132" t="s">
        <v>2496</v>
      </c>
      <c r="H180" s="132" t="s">
        <v>2497</v>
      </c>
      <c r="I180" s="132" t="s">
        <v>2498</v>
      </c>
      <c r="J180" s="132" t="s">
        <v>2499</v>
      </c>
      <c r="K180" s="132" t="s">
        <v>2500</v>
      </c>
      <c r="L180" s="112">
        <f>_xlfn.XLOOKUP(B180,Summary!B:B,Summary!G:G)</f>
        <v>5</v>
      </c>
      <c r="M180" s="112"/>
      <c r="N180" s="112"/>
      <c r="O180" s="112" t="str">
        <f t="shared" si="4"/>
        <v>-255</v>
      </c>
      <c r="P180" s="112" t="s">
        <v>952</v>
      </c>
      <c r="Q180" s="112" t="s">
        <v>1065</v>
      </c>
      <c r="R180" s="112"/>
      <c r="S180" s="112"/>
      <c r="T180" s="112"/>
    </row>
    <row r="181" spans="1:20" ht="12.75" customHeight="1">
      <c r="A181" s="162" t="str">
        <f>_xlfn.XLOOKUP(B181,Summary!B:B,Summary!C:C,"")</f>
        <v>Antminer S21</v>
      </c>
      <c r="B181" s="132" t="s">
        <v>406</v>
      </c>
      <c r="C181" s="172" t="s">
        <v>2501</v>
      </c>
      <c r="D181" s="132" t="s">
        <v>2502</v>
      </c>
      <c r="E181" s="132" t="s">
        <v>2503</v>
      </c>
      <c r="F181" s="132" t="s">
        <v>2504</v>
      </c>
      <c r="G181" s="132" t="s">
        <v>2505</v>
      </c>
      <c r="H181" s="132" t="s">
        <v>2506</v>
      </c>
      <c r="I181" s="132" t="s">
        <v>2507</v>
      </c>
      <c r="J181" s="132" t="s">
        <v>2508</v>
      </c>
      <c r="K181" s="132" t="s">
        <v>2509</v>
      </c>
      <c r="L181" s="112">
        <f>_xlfn.XLOOKUP(B181,Summary!B:B,Summary!G:G)</f>
        <v>5</v>
      </c>
      <c r="M181" s="112"/>
      <c r="N181" s="112"/>
      <c r="O181" s="112" t="str">
        <f t="shared" si="4"/>
        <v>-255</v>
      </c>
      <c r="P181" s="112" t="s">
        <v>952</v>
      </c>
      <c r="Q181" s="112" t="s">
        <v>1065</v>
      </c>
      <c r="R181" s="112"/>
      <c r="S181" s="112"/>
      <c r="T181" s="112"/>
    </row>
    <row r="182" spans="1:20" ht="12.75" customHeight="1">
      <c r="A182" s="162" t="str">
        <f>_xlfn.XLOOKUP(B182,Summary!B:B,Summary!C:C,"")</f>
        <v>Antminer S21</v>
      </c>
      <c r="B182" s="132" t="s">
        <v>407</v>
      </c>
      <c r="C182" s="172" t="s">
        <v>2510</v>
      </c>
      <c r="D182" s="132" t="s">
        <v>2511</v>
      </c>
      <c r="E182" s="132" t="s">
        <v>2512</v>
      </c>
      <c r="F182" s="132" t="s">
        <v>2513</v>
      </c>
      <c r="G182" s="132" t="s">
        <v>2514</v>
      </c>
      <c r="H182" s="132" t="s">
        <v>2515</v>
      </c>
      <c r="I182" s="132" t="s">
        <v>2516</v>
      </c>
      <c r="J182" s="132" t="s">
        <v>2517</v>
      </c>
      <c r="K182" s="132" t="s">
        <v>2518</v>
      </c>
      <c r="L182" s="112">
        <f>_xlfn.XLOOKUP(B182,Summary!B:B,Summary!G:G)</f>
        <v>5</v>
      </c>
      <c r="M182" s="112"/>
      <c r="N182" s="112"/>
      <c r="O182" s="112" t="str">
        <f t="shared" si="4"/>
        <v>-255</v>
      </c>
      <c r="P182" s="112" t="s">
        <v>952</v>
      </c>
      <c r="Q182" s="112" t="s">
        <v>1065</v>
      </c>
      <c r="R182" s="112"/>
      <c r="S182" s="112"/>
      <c r="T182" s="112"/>
    </row>
    <row r="183" spans="1:20" ht="12.75" customHeight="1">
      <c r="A183" s="162" t="str">
        <f>_xlfn.XLOOKUP(B183,Summary!B:B,Summary!C:C,"")</f>
        <v>Antminer S21</v>
      </c>
      <c r="B183" s="132" t="s">
        <v>410</v>
      </c>
      <c r="C183" s="172" t="s">
        <v>2519</v>
      </c>
      <c r="D183" s="132" t="s">
        <v>2520</v>
      </c>
      <c r="E183" s="132" t="s">
        <v>2521</v>
      </c>
      <c r="F183" s="132" t="s">
        <v>2522</v>
      </c>
      <c r="G183" s="132" t="s">
        <v>2523</v>
      </c>
      <c r="H183" s="132" t="s">
        <v>2524</v>
      </c>
      <c r="I183" s="132" t="s">
        <v>2525</v>
      </c>
      <c r="J183" s="132" t="s">
        <v>2526</v>
      </c>
      <c r="K183" s="132" t="s">
        <v>2527</v>
      </c>
      <c r="L183" s="112">
        <f>_xlfn.XLOOKUP(B183,Summary!B:B,Summary!G:G)</f>
        <v>5</v>
      </c>
      <c r="M183" s="112"/>
      <c r="N183" s="112"/>
      <c r="O183" s="112" t="str">
        <f t="shared" si="4"/>
        <v>-255</v>
      </c>
      <c r="P183" s="112" t="s">
        <v>952</v>
      </c>
      <c r="Q183" s="112" t="s">
        <v>1065</v>
      </c>
      <c r="R183" s="112"/>
      <c r="S183" s="112"/>
      <c r="T183" s="112"/>
    </row>
    <row r="184" spans="1:20" ht="12.75" customHeight="1">
      <c r="A184" s="162" t="str">
        <f>_xlfn.XLOOKUP(B184,Summary!B:B,Summary!C:C,"")</f>
        <v>Antminer S21</v>
      </c>
      <c r="B184" s="132" t="s">
        <v>411</v>
      </c>
      <c r="C184" s="172" t="s">
        <v>2528</v>
      </c>
      <c r="D184" s="132" t="s">
        <v>2529</v>
      </c>
      <c r="E184" s="132" t="s">
        <v>2530</v>
      </c>
      <c r="F184" s="132" t="s">
        <v>2531</v>
      </c>
      <c r="G184" s="132" t="s">
        <v>2532</v>
      </c>
      <c r="H184" s="132" t="s">
        <v>2533</v>
      </c>
      <c r="I184" s="132" t="s">
        <v>2534</v>
      </c>
      <c r="J184" s="132" t="s">
        <v>2535</v>
      </c>
      <c r="K184" s="132" t="s">
        <v>2536</v>
      </c>
      <c r="L184" s="112">
        <f>_xlfn.XLOOKUP(B184,Summary!B:B,Summary!G:G)</f>
        <v>5</v>
      </c>
      <c r="M184" s="112"/>
      <c r="N184" s="112"/>
      <c r="O184" s="112" t="str">
        <f t="shared" si="4"/>
        <v>-255</v>
      </c>
      <c r="P184" s="112" t="s">
        <v>952</v>
      </c>
      <c r="Q184" s="112" t="s">
        <v>1065</v>
      </c>
      <c r="R184" s="112"/>
      <c r="S184" s="112"/>
      <c r="T184" s="112"/>
    </row>
    <row r="185" spans="1:20" ht="12.75" customHeight="1">
      <c r="A185" s="162" t="str">
        <f>_xlfn.XLOOKUP(B185,Summary!B:B,Summary!C:C,"")</f>
        <v>Antminer S21</v>
      </c>
      <c r="B185" s="132" t="s">
        <v>414</v>
      </c>
      <c r="C185" s="172" t="s">
        <v>2537</v>
      </c>
      <c r="D185" s="132" t="s">
        <v>2538</v>
      </c>
      <c r="E185" s="132" t="s">
        <v>2539</v>
      </c>
      <c r="F185" s="132" t="s">
        <v>2540</v>
      </c>
      <c r="G185" s="132" t="s">
        <v>2541</v>
      </c>
      <c r="H185" s="132" t="s">
        <v>2542</v>
      </c>
      <c r="I185" s="132" t="s">
        <v>2543</v>
      </c>
      <c r="J185" s="132" t="s">
        <v>2544</v>
      </c>
      <c r="K185" s="132" t="s">
        <v>2545</v>
      </c>
      <c r="L185" s="112">
        <f>_xlfn.XLOOKUP(B185,Summary!B:B,Summary!G:G)</f>
        <v>5</v>
      </c>
      <c r="M185" s="112"/>
      <c r="N185" s="112"/>
      <c r="O185" s="112" t="str">
        <f t="shared" si="4"/>
        <v>-255</v>
      </c>
      <c r="P185" s="112" t="s">
        <v>952</v>
      </c>
      <c r="Q185" s="112" t="s">
        <v>1065</v>
      </c>
      <c r="R185" s="112"/>
      <c r="S185" s="112"/>
      <c r="T185" s="112"/>
    </row>
    <row r="186" spans="1:20" ht="12.75" customHeight="1">
      <c r="A186" s="162" t="str">
        <f>_xlfn.XLOOKUP(B186,Summary!B:B,Summary!C:C,"")</f>
        <v>Antminer S21</v>
      </c>
      <c r="B186" s="132" t="s">
        <v>415</v>
      </c>
      <c r="C186" s="172" t="s">
        <v>2546</v>
      </c>
      <c r="D186" s="132" t="s">
        <v>2547</v>
      </c>
      <c r="E186" s="132" t="s">
        <v>2548</v>
      </c>
      <c r="F186" s="132" t="s">
        <v>2549</v>
      </c>
      <c r="G186" s="132" t="s">
        <v>2550</v>
      </c>
      <c r="H186" s="132" t="s">
        <v>2551</v>
      </c>
      <c r="I186" s="132" t="s">
        <v>2552</v>
      </c>
      <c r="J186" s="132" t="s">
        <v>2553</v>
      </c>
      <c r="K186" s="132" t="s">
        <v>2554</v>
      </c>
      <c r="L186" s="112">
        <f>_xlfn.XLOOKUP(B186,Summary!B:B,Summary!G:G)</f>
        <v>5</v>
      </c>
      <c r="M186" s="112"/>
      <c r="N186" s="112"/>
      <c r="O186" s="112" t="str">
        <f t="shared" si="4"/>
        <v>-255</v>
      </c>
      <c r="P186" s="112" t="s">
        <v>952</v>
      </c>
      <c r="Q186" s="112" t="s">
        <v>1065</v>
      </c>
      <c r="R186" s="112"/>
      <c r="S186" s="112"/>
      <c r="T186" s="112"/>
    </row>
    <row r="187" spans="1:20" ht="12.75" customHeight="1">
      <c r="A187" s="162" t="str">
        <f>_xlfn.XLOOKUP(B187,Summary!B:B,Summary!C:C,"")</f>
        <v>Antminer S21</v>
      </c>
      <c r="B187" s="132" t="s">
        <v>418</v>
      </c>
      <c r="C187" s="172" t="s">
        <v>2555</v>
      </c>
      <c r="D187" s="132" t="s">
        <v>2556</v>
      </c>
      <c r="E187" s="132" t="s">
        <v>2557</v>
      </c>
      <c r="F187" s="132" t="s">
        <v>2558</v>
      </c>
      <c r="G187" s="132" t="s">
        <v>2559</v>
      </c>
      <c r="H187" s="132" t="s">
        <v>2560</v>
      </c>
      <c r="I187" s="132" t="s">
        <v>2561</v>
      </c>
      <c r="J187" s="132" t="s">
        <v>2562</v>
      </c>
      <c r="K187" s="132" t="s">
        <v>2563</v>
      </c>
      <c r="L187" s="112">
        <f>_xlfn.XLOOKUP(B187,Summary!B:B,Summary!G:G)</f>
        <v>5</v>
      </c>
      <c r="M187" s="112"/>
      <c r="N187" s="112"/>
      <c r="O187" s="112" t="str">
        <f t="shared" si="4"/>
        <v>-255</v>
      </c>
      <c r="P187" s="112" t="s">
        <v>952</v>
      </c>
      <c r="Q187" s="112" t="s">
        <v>1065</v>
      </c>
      <c r="R187" s="112"/>
      <c r="S187" s="112"/>
      <c r="T187" s="112"/>
    </row>
    <row r="188" spans="1:20" ht="12.75" customHeight="1">
      <c r="A188" s="162" t="str">
        <f>_xlfn.XLOOKUP(B188,Summary!B:B,Summary!C:C,"")</f>
        <v>Antminer S21</v>
      </c>
      <c r="B188" s="132" t="s">
        <v>419</v>
      </c>
      <c r="C188" s="172" t="s">
        <v>2564</v>
      </c>
      <c r="D188" s="132" t="s">
        <v>2565</v>
      </c>
      <c r="E188" s="132" t="s">
        <v>2566</v>
      </c>
      <c r="F188" s="132" t="s">
        <v>2567</v>
      </c>
      <c r="G188" s="132" t="s">
        <v>2568</v>
      </c>
      <c r="H188" s="132" t="s">
        <v>2569</v>
      </c>
      <c r="I188" s="132" t="s">
        <v>2570</v>
      </c>
      <c r="J188" s="132" t="s">
        <v>2571</v>
      </c>
      <c r="K188" s="132" t="s">
        <v>2572</v>
      </c>
      <c r="L188" s="112">
        <f>_xlfn.XLOOKUP(B188,Summary!B:B,Summary!G:G)</f>
        <v>5</v>
      </c>
      <c r="M188" s="112"/>
      <c r="N188" s="112"/>
      <c r="O188" s="112" t="str">
        <f t="shared" si="4"/>
        <v>-255</v>
      </c>
      <c r="P188" s="112" t="s">
        <v>952</v>
      </c>
      <c r="Q188" s="112" t="s">
        <v>1065</v>
      </c>
      <c r="R188" s="112"/>
      <c r="S188" s="112"/>
      <c r="T188" s="112"/>
    </row>
    <row r="189" spans="1:20" ht="12.75" customHeight="1">
      <c r="A189" s="162" t="str">
        <f>_xlfn.XLOOKUP(B189,Summary!B:B,Summary!C:C,"")</f>
        <v>Antminer S21</v>
      </c>
      <c r="B189" s="132" t="s">
        <v>422</v>
      </c>
      <c r="C189" s="172" t="s">
        <v>2573</v>
      </c>
      <c r="D189" s="132" t="s">
        <v>2574</v>
      </c>
      <c r="E189" s="132" t="s">
        <v>2575</v>
      </c>
      <c r="F189" s="132" t="s">
        <v>2576</v>
      </c>
      <c r="G189" s="132" t="s">
        <v>2577</v>
      </c>
      <c r="H189" s="132" t="s">
        <v>2578</v>
      </c>
      <c r="I189" s="132" t="s">
        <v>2579</v>
      </c>
      <c r="J189" s="132" t="s">
        <v>2580</v>
      </c>
      <c r="K189" s="132" t="s">
        <v>2581</v>
      </c>
      <c r="L189" s="112">
        <f>_xlfn.XLOOKUP(B189,Summary!B:B,Summary!G:G)</f>
        <v>5</v>
      </c>
      <c r="M189" s="112"/>
      <c r="N189" s="112"/>
      <c r="O189" s="112" t="str">
        <f t="shared" si="4"/>
        <v>-255</v>
      </c>
      <c r="P189" s="112" t="s">
        <v>952</v>
      </c>
      <c r="Q189" s="112" t="s">
        <v>1065</v>
      </c>
      <c r="R189" s="112"/>
      <c r="S189" s="112"/>
      <c r="T189" s="112"/>
    </row>
    <row r="190" spans="1:20" ht="12.75" customHeight="1">
      <c r="A190" s="173" t="str">
        <f>_xlfn.XLOOKUP(B190,Summary!B:B,Summary!C:C,"")</f>
        <v>** NOT USED **</v>
      </c>
      <c r="B190" s="150" t="s">
        <v>423</v>
      </c>
      <c r="C190" s="151" t="s">
        <v>921</v>
      </c>
      <c r="D190" s="152" t="s">
        <v>922</v>
      </c>
      <c r="E190" s="152" t="s">
        <v>923</v>
      </c>
      <c r="F190" s="152" t="s">
        <v>924</v>
      </c>
      <c r="G190" s="152" t="s">
        <v>925</v>
      </c>
      <c r="H190" s="152" t="s">
        <v>926</v>
      </c>
      <c r="I190" s="152" t="s">
        <v>927</v>
      </c>
      <c r="J190" s="152" t="s">
        <v>928</v>
      </c>
      <c r="K190" s="152" t="s">
        <v>929</v>
      </c>
      <c r="L190" s="112">
        <f>_xlfn.XLOOKUP(B190,Summary!B:B,Summary!G:G)</f>
        <v>5</v>
      </c>
      <c r="M190" s="112"/>
      <c r="N190" s="112"/>
      <c r="O190" s="112" t="str">
        <f t="shared" si="4"/>
        <v>-255</v>
      </c>
      <c r="R190" s="112"/>
      <c r="S190" s="112"/>
      <c r="T190" s="112"/>
    </row>
    <row r="191" spans="1:20" ht="12.75" customHeight="1">
      <c r="A191" s="173" t="str">
        <f>_xlfn.XLOOKUP(B191,Summary!B:B,Summary!C:C,"")</f>
        <v>** NOT USED **</v>
      </c>
      <c r="B191" s="150" t="s">
        <v>427</v>
      </c>
      <c r="C191" s="151" t="s">
        <v>2582</v>
      </c>
      <c r="D191" s="152" t="s">
        <v>2583</v>
      </c>
      <c r="E191" s="152" t="s">
        <v>2584</v>
      </c>
      <c r="F191" s="152" t="s">
        <v>2585</v>
      </c>
      <c r="G191" s="152" t="s">
        <v>2586</v>
      </c>
      <c r="H191" s="152" t="s">
        <v>2587</v>
      </c>
      <c r="I191" s="152" t="s">
        <v>2588</v>
      </c>
      <c r="J191" s="152" t="s">
        <v>2589</v>
      </c>
      <c r="K191" s="152" t="s">
        <v>2590</v>
      </c>
      <c r="L191" s="112">
        <f>_xlfn.XLOOKUP(B191,Summary!B:B,Summary!G:G)</f>
        <v>5</v>
      </c>
      <c r="M191" s="112"/>
      <c r="N191" s="112"/>
      <c r="O191" s="112" t="str">
        <f t="shared" si="4"/>
        <v>-255</v>
      </c>
      <c r="R191" s="112"/>
      <c r="S191" s="112"/>
      <c r="T191" s="112"/>
    </row>
    <row r="192" spans="1:20" ht="12.75" customHeight="1">
      <c r="A192" s="162" t="str">
        <f>_xlfn.XLOOKUP(B192,Summary!B:B,Summary!C:C,"")</f>
        <v>Antminer S21</v>
      </c>
      <c r="B192" s="132" t="s">
        <v>436</v>
      </c>
      <c r="C192" s="172" t="s">
        <v>2591</v>
      </c>
      <c r="D192" s="132" t="s">
        <v>2592</v>
      </c>
      <c r="E192" s="132" t="s">
        <v>2593</v>
      </c>
      <c r="F192" s="132" t="s">
        <v>2594</v>
      </c>
      <c r="G192" s="132" t="s">
        <v>2595</v>
      </c>
      <c r="H192" s="132" t="s">
        <v>2596</v>
      </c>
      <c r="I192" s="132" t="s">
        <v>2597</v>
      </c>
      <c r="J192" s="132" t="s">
        <v>2598</v>
      </c>
      <c r="K192" s="132" t="s">
        <v>2599</v>
      </c>
      <c r="L192" s="112">
        <f>_xlfn.XLOOKUP(B192,Summary!B:B,Summary!G:G)</f>
        <v>5</v>
      </c>
      <c r="M192" s="112"/>
      <c r="N192" s="112"/>
      <c r="O192" s="112" t="str">
        <f t="shared" si="4"/>
        <v>-255</v>
      </c>
      <c r="P192" s="112" t="s">
        <v>952</v>
      </c>
      <c r="Q192" s="112" t="s">
        <v>1065</v>
      </c>
      <c r="R192" s="112"/>
      <c r="S192" s="112"/>
      <c r="T192" s="112"/>
    </row>
    <row r="193" spans="1:20" ht="12.75" customHeight="1">
      <c r="A193" s="162" t="str">
        <f>_xlfn.XLOOKUP(B193,Summary!B:B,Summary!C:C,"")</f>
        <v>Antminer S21</v>
      </c>
      <c r="B193" s="132" t="s">
        <v>440</v>
      </c>
      <c r="C193" s="172" t="s">
        <v>2600</v>
      </c>
      <c r="D193" s="132" t="s">
        <v>2601</v>
      </c>
      <c r="E193" s="132" t="s">
        <v>2602</v>
      </c>
      <c r="F193" s="132" t="s">
        <v>2603</v>
      </c>
      <c r="G193" s="132" t="s">
        <v>2604</v>
      </c>
      <c r="H193" s="132" t="s">
        <v>2605</v>
      </c>
      <c r="I193" s="132" t="s">
        <v>2606</v>
      </c>
      <c r="J193" s="132" t="s">
        <v>2607</v>
      </c>
      <c r="K193" s="132" t="s">
        <v>2608</v>
      </c>
      <c r="L193" s="112">
        <f>_xlfn.XLOOKUP(B193,Summary!B:B,Summary!G:G)</f>
        <v>5</v>
      </c>
      <c r="M193" s="112"/>
      <c r="N193" s="112"/>
      <c r="O193" s="112" t="str">
        <f t="shared" si="4"/>
        <v>-255</v>
      </c>
      <c r="P193" s="112" t="s">
        <v>952</v>
      </c>
      <c r="Q193" s="112" t="s">
        <v>1065</v>
      </c>
      <c r="R193" s="112"/>
      <c r="S193" s="112"/>
      <c r="T193" s="112"/>
    </row>
    <row r="194" spans="1:20" ht="12.75" customHeight="1">
      <c r="A194" s="162" t="str">
        <f>_xlfn.XLOOKUP(B194,Summary!B:B,Summary!C:C,"")</f>
        <v>Antminer S21</v>
      </c>
      <c r="B194" s="132" t="s">
        <v>441</v>
      </c>
      <c r="C194" s="172" t="s">
        <v>2609</v>
      </c>
      <c r="D194" s="132" t="s">
        <v>2610</v>
      </c>
      <c r="E194" s="132" t="s">
        <v>2611</v>
      </c>
      <c r="F194" s="132" t="s">
        <v>2612</v>
      </c>
      <c r="G194" s="132" t="s">
        <v>2613</v>
      </c>
      <c r="H194" s="132" t="s">
        <v>2614</v>
      </c>
      <c r="I194" s="132" t="s">
        <v>2615</v>
      </c>
      <c r="J194" s="132" t="s">
        <v>2616</v>
      </c>
      <c r="K194" s="132" t="s">
        <v>2617</v>
      </c>
      <c r="L194" s="112">
        <f>_xlfn.XLOOKUP(B194,Summary!B:B,Summary!G:G)</f>
        <v>5</v>
      </c>
      <c r="M194" s="112"/>
      <c r="N194" s="112"/>
      <c r="O194" s="112" t="str">
        <f t="shared" si="4"/>
        <v>-255</v>
      </c>
      <c r="P194" s="112" t="s">
        <v>952</v>
      </c>
      <c r="Q194" s="112" t="s">
        <v>1065</v>
      </c>
      <c r="R194" s="112"/>
      <c r="S194" s="112"/>
      <c r="T194" s="112"/>
    </row>
    <row r="195" spans="1:20" ht="12.75" customHeight="1">
      <c r="A195" s="162" t="str">
        <f>_xlfn.XLOOKUP(B195,Summary!B:B,Summary!C:C,"")</f>
        <v>Antminer S21</v>
      </c>
      <c r="B195" s="132" t="s">
        <v>444</v>
      </c>
      <c r="C195" s="172" t="s">
        <v>2618</v>
      </c>
      <c r="D195" s="132" t="s">
        <v>2619</v>
      </c>
      <c r="E195" s="132" t="s">
        <v>2620</v>
      </c>
      <c r="F195" s="132" t="s">
        <v>2621</v>
      </c>
      <c r="G195" s="132" t="s">
        <v>2622</v>
      </c>
      <c r="H195" s="132" t="s">
        <v>2623</v>
      </c>
      <c r="I195" s="132" t="s">
        <v>2624</v>
      </c>
      <c r="J195" s="132" t="s">
        <v>2625</v>
      </c>
      <c r="K195" s="132" t="s">
        <v>2626</v>
      </c>
      <c r="L195" s="112">
        <f>_xlfn.XLOOKUP(B195,Summary!B:B,Summary!G:G)</f>
        <v>5</v>
      </c>
      <c r="M195" s="112"/>
      <c r="N195" s="112"/>
      <c r="O195" s="112" t="str">
        <f t="shared" si="4"/>
        <v>-255</v>
      </c>
      <c r="P195" s="112" t="s">
        <v>952</v>
      </c>
      <c r="Q195" s="112" t="s">
        <v>1065</v>
      </c>
      <c r="R195" s="112"/>
      <c r="S195" s="112"/>
      <c r="T195" s="112"/>
    </row>
    <row r="196" spans="1:20" ht="12.75" customHeight="1">
      <c r="A196" s="162" t="str">
        <f>_xlfn.XLOOKUP(B196,Summary!B:B,Summary!C:C,"")</f>
        <v>Antminer S21</v>
      </c>
      <c r="B196" s="132" t="s">
        <v>445</v>
      </c>
      <c r="C196" s="172" t="s">
        <v>2627</v>
      </c>
      <c r="D196" s="132" t="s">
        <v>2628</v>
      </c>
      <c r="E196" s="132" t="s">
        <v>2629</v>
      </c>
      <c r="F196" s="132" t="s">
        <v>2630</v>
      </c>
      <c r="G196" s="132" t="s">
        <v>2631</v>
      </c>
      <c r="H196" s="132" t="s">
        <v>2632</v>
      </c>
      <c r="I196" s="132" t="s">
        <v>2633</v>
      </c>
      <c r="J196" s="132" t="s">
        <v>2634</v>
      </c>
      <c r="K196" s="132" t="s">
        <v>2635</v>
      </c>
      <c r="L196" s="112">
        <f>_xlfn.XLOOKUP(B196,Summary!B:B,Summary!G:G)</f>
        <v>5</v>
      </c>
      <c r="M196" s="112"/>
      <c r="N196" s="112"/>
      <c r="O196" s="112" t="str">
        <f t="shared" si="4"/>
        <v>-255</v>
      </c>
      <c r="P196" s="112" t="s">
        <v>952</v>
      </c>
      <c r="Q196" s="112" t="s">
        <v>1065</v>
      </c>
      <c r="R196" s="112"/>
      <c r="S196" s="112"/>
      <c r="T196" s="112"/>
    </row>
    <row r="197" spans="1:20" ht="12.75" customHeight="1">
      <c r="A197" s="162" t="str">
        <f>_xlfn.XLOOKUP(B197,Summary!B:B,Summary!C:C,"")</f>
        <v>Antminer S21</v>
      </c>
      <c r="B197" s="132" t="s">
        <v>448</v>
      </c>
      <c r="C197" s="172" t="s">
        <v>2636</v>
      </c>
      <c r="D197" s="132" t="s">
        <v>2637</v>
      </c>
      <c r="E197" s="132" t="s">
        <v>2638</v>
      </c>
      <c r="F197" s="132" t="s">
        <v>2639</v>
      </c>
      <c r="G197" s="132" t="s">
        <v>2640</v>
      </c>
      <c r="H197" s="132" t="s">
        <v>2641</v>
      </c>
      <c r="I197" s="132" t="s">
        <v>2642</v>
      </c>
      <c r="J197" s="132" t="s">
        <v>2643</v>
      </c>
      <c r="K197" s="132" t="s">
        <v>2644</v>
      </c>
      <c r="L197" s="112">
        <f>_xlfn.XLOOKUP(B197,Summary!B:B,Summary!G:G)</f>
        <v>5</v>
      </c>
      <c r="M197" s="112"/>
      <c r="N197" s="112"/>
      <c r="O197" s="112" t="str">
        <f t="shared" si="4"/>
        <v>-255</v>
      </c>
      <c r="P197" s="112" t="s">
        <v>952</v>
      </c>
      <c r="Q197" s="112" t="s">
        <v>1065</v>
      </c>
      <c r="R197" s="112"/>
      <c r="S197" s="112"/>
      <c r="T197" s="112"/>
    </row>
    <row r="198" spans="1:20" ht="12.75" customHeight="1">
      <c r="A198" s="162" t="str">
        <f>_xlfn.XLOOKUP(B198,Summary!B:B,Summary!C:C,"")</f>
        <v>Antminer S21</v>
      </c>
      <c r="B198" s="132" t="s">
        <v>449</v>
      </c>
      <c r="C198" s="172" t="s">
        <v>2645</v>
      </c>
      <c r="D198" s="132" t="s">
        <v>2646</v>
      </c>
      <c r="E198" s="132" t="s">
        <v>2647</v>
      </c>
      <c r="F198" s="132" t="s">
        <v>2648</v>
      </c>
      <c r="G198" s="132" t="s">
        <v>2649</v>
      </c>
      <c r="H198" s="132" t="s">
        <v>2650</v>
      </c>
      <c r="I198" s="132" t="s">
        <v>2651</v>
      </c>
      <c r="J198" s="132" t="s">
        <v>2652</v>
      </c>
      <c r="K198" s="132" t="s">
        <v>2653</v>
      </c>
      <c r="L198" s="112">
        <f>_xlfn.XLOOKUP(B198,Summary!B:B,Summary!G:G)</f>
        <v>5</v>
      </c>
      <c r="M198" s="112"/>
      <c r="N198" s="112"/>
      <c r="O198" s="112" t="str">
        <f t="shared" si="4"/>
        <v>-255</v>
      </c>
      <c r="P198" s="112" t="s">
        <v>952</v>
      </c>
      <c r="Q198" s="112" t="s">
        <v>1065</v>
      </c>
      <c r="R198" s="112"/>
      <c r="S198" s="112"/>
      <c r="T198" s="112"/>
    </row>
    <row r="199" spans="1:20" ht="12.75" customHeight="1">
      <c r="A199" s="162" t="str">
        <f>_xlfn.XLOOKUP(B199,Summary!B:B,Summary!C:C,"")</f>
        <v>Antminer S21</v>
      </c>
      <c r="B199" s="132" t="s">
        <v>452</v>
      </c>
      <c r="C199" s="172" t="s">
        <v>2654</v>
      </c>
      <c r="D199" s="132" t="s">
        <v>2655</v>
      </c>
      <c r="E199" s="132" t="s">
        <v>2656</v>
      </c>
      <c r="F199" s="132" t="s">
        <v>2657</v>
      </c>
      <c r="G199" s="132" t="s">
        <v>2658</v>
      </c>
      <c r="H199" s="132" t="s">
        <v>2659</v>
      </c>
      <c r="I199" s="132" t="s">
        <v>2660</v>
      </c>
      <c r="J199" s="132" t="s">
        <v>2661</v>
      </c>
      <c r="K199" s="132" t="s">
        <v>2662</v>
      </c>
      <c r="L199" s="112">
        <f>_xlfn.XLOOKUP(B199,Summary!B:B,Summary!G:G)</f>
        <v>5</v>
      </c>
      <c r="M199" s="112"/>
      <c r="N199" s="112"/>
      <c r="O199" s="112" t="str">
        <f t="shared" si="4"/>
        <v>-255</v>
      </c>
      <c r="P199" s="112" t="s">
        <v>952</v>
      </c>
      <c r="Q199" s="112" t="s">
        <v>1065</v>
      </c>
      <c r="R199" s="112"/>
      <c r="S199" s="112"/>
      <c r="T199" s="112"/>
    </row>
    <row r="200" spans="1:20" ht="12.75" customHeight="1">
      <c r="A200" s="162" t="str">
        <f>_xlfn.XLOOKUP(B200,Summary!B:B,Summary!C:C,"")</f>
        <v>Antminer S21</v>
      </c>
      <c r="B200" s="132" t="s">
        <v>453</v>
      </c>
      <c r="C200" s="172" t="s">
        <v>2663</v>
      </c>
      <c r="D200" s="132" t="s">
        <v>2664</v>
      </c>
      <c r="E200" s="132" t="s">
        <v>2665</v>
      </c>
      <c r="F200" s="132" t="s">
        <v>2666</v>
      </c>
      <c r="G200" s="132" t="s">
        <v>2667</v>
      </c>
      <c r="H200" s="132" t="s">
        <v>2668</v>
      </c>
      <c r="I200" s="132" t="s">
        <v>2669</v>
      </c>
      <c r="J200" s="132" t="s">
        <v>2670</v>
      </c>
      <c r="K200" s="132" t="s">
        <v>2671</v>
      </c>
      <c r="L200" s="112">
        <f>_xlfn.XLOOKUP(B200,Summary!B:B,Summary!G:G)</f>
        <v>5</v>
      </c>
      <c r="M200" s="112"/>
      <c r="N200" s="112"/>
      <c r="O200" s="112" t="str">
        <f t="shared" si="4"/>
        <v>-255</v>
      </c>
      <c r="P200" s="112" t="s">
        <v>952</v>
      </c>
      <c r="Q200" s="112" t="s">
        <v>1065</v>
      </c>
      <c r="R200" s="112"/>
      <c r="S200" s="112"/>
      <c r="T200" s="112"/>
    </row>
    <row r="201" spans="1:20" ht="12.75" customHeight="1">
      <c r="A201" s="162" t="str">
        <f>_xlfn.XLOOKUP(B201,Summary!B:B,Summary!C:C,"")</f>
        <v>Antminer S21</v>
      </c>
      <c r="B201" s="132" t="s">
        <v>456</v>
      </c>
      <c r="C201" s="172" t="s">
        <v>2672</v>
      </c>
      <c r="D201" s="132" t="s">
        <v>2673</v>
      </c>
      <c r="E201" s="132" t="s">
        <v>2674</v>
      </c>
      <c r="F201" s="132" t="s">
        <v>2675</v>
      </c>
      <c r="G201" s="132" t="s">
        <v>2676</v>
      </c>
      <c r="H201" s="132" t="s">
        <v>2677</v>
      </c>
      <c r="I201" s="132" t="s">
        <v>2678</v>
      </c>
      <c r="J201" s="132" t="s">
        <v>2679</v>
      </c>
      <c r="K201" s="132" t="s">
        <v>2680</v>
      </c>
      <c r="L201" s="112">
        <f>_xlfn.XLOOKUP(B201,Summary!B:B,Summary!G:G)</f>
        <v>5</v>
      </c>
      <c r="M201" s="112"/>
      <c r="N201" s="112"/>
      <c r="O201" s="112" t="str">
        <f t="shared" si="4"/>
        <v>-255</v>
      </c>
      <c r="P201" s="112" t="s">
        <v>952</v>
      </c>
      <c r="Q201" s="112" t="s">
        <v>1065</v>
      </c>
      <c r="R201" s="112"/>
      <c r="S201" s="112"/>
      <c r="T201" s="112"/>
    </row>
    <row r="202" spans="1:20" ht="12.75" customHeight="1">
      <c r="A202" s="162" t="str">
        <f>_xlfn.XLOOKUP(B202,Summary!B:B,Summary!C:C,"")</f>
        <v>Antminer S21</v>
      </c>
      <c r="B202" s="132" t="s">
        <v>457</v>
      </c>
      <c r="C202" s="172" t="s">
        <v>2681</v>
      </c>
      <c r="D202" s="132" t="s">
        <v>2682</v>
      </c>
      <c r="E202" s="132" t="s">
        <v>2683</v>
      </c>
      <c r="F202" s="132" t="s">
        <v>2684</v>
      </c>
      <c r="G202" s="132" t="s">
        <v>2685</v>
      </c>
      <c r="H202" s="132" t="s">
        <v>2686</v>
      </c>
      <c r="I202" s="132" t="s">
        <v>2687</v>
      </c>
      <c r="J202" s="132" t="s">
        <v>2688</v>
      </c>
      <c r="K202" s="132" t="s">
        <v>2689</v>
      </c>
      <c r="L202" s="112">
        <f>_xlfn.XLOOKUP(B202,Summary!B:B,Summary!G:G)</f>
        <v>5</v>
      </c>
      <c r="M202" s="112"/>
      <c r="N202" s="112"/>
      <c r="O202" s="112" t="str">
        <f t="shared" si="4"/>
        <v>-255</v>
      </c>
      <c r="P202" s="112" t="s">
        <v>952</v>
      </c>
      <c r="Q202" s="112" t="s">
        <v>1065</v>
      </c>
      <c r="R202" s="112"/>
      <c r="S202" s="112"/>
      <c r="T202" s="112"/>
    </row>
    <row r="203" spans="1:20" ht="12.75" customHeight="1">
      <c r="A203" s="162" t="str">
        <f>_xlfn.XLOOKUP(B203,Summary!B:B,Summary!C:C,"")</f>
        <v>Antminer S21</v>
      </c>
      <c r="B203" s="132" t="s">
        <v>460</v>
      </c>
      <c r="C203" s="172" t="s">
        <v>2690</v>
      </c>
      <c r="D203" s="132" t="s">
        <v>2691</v>
      </c>
      <c r="E203" s="132" t="s">
        <v>2692</v>
      </c>
      <c r="F203" s="132" t="s">
        <v>2693</v>
      </c>
      <c r="G203" s="132" t="s">
        <v>2694</v>
      </c>
      <c r="H203" s="132" t="s">
        <v>2695</v>
      </c>
      <c r="I203" s="132" t="s">
        <v>2696</v>
      </c>
      <c r="J203" s="132" t="s">
        <v>2697</v>
      </c>
      <c r="K203" s="132" t="s">
        <v>2698</v>
      </c>
      <c r="L203" s="112">
        <f>_xlfn.XLOOKUP(B203,Summary!B:B,Summary!G:G)</f>
        <v>5</v>
      </c>
      <c r="M203" s="112"/>
      <c r="N203" s="112"/>
      <c r="O203" s="112" t="str">
        <f t="shared" si="4"/>
        <v>-255</v>
      </c>
      <c r="P203" s="112" t="s">
        <v>952</v>
      </c>
      <c r="Q203" s="112" t="s">
        <v>1065</v>
      </c>
      <c r="R203" s="112"/>
      <c r="S203" s="112"/>
      <c r="T203" s="112"/>
    </row>
    <row r="204" spans="1:20" ht="12.75" customHeight="1">
      <c r="A204" s="162" t="str">
        <f>_xlfn.XLOOKUP(B204,Summary!B:B,Summary!C:C,"")</f>
        <v>Antminer S21</v>
      </c>
      <c r="B204" s="132" t="s">
        <v>461</v>
      </c>
      <c r="C204" s="172" t="s">
        <v>2699</v>
      </c>
      <c r="D204" s="132" t="s">
        <v>2700</v>
      </c>
      <c r="E204" s="132" t="s">
        <v>2701</v>
      </c>
      <c r="F204" s="132" t="s">
        <v>2702</v>
      </c>
      <c r="G204" s="132" t="s">
        <v>2703</v>
      </c>
      <c r="H204" s="132" t="s">
        <v>2704</v>
      </c>
      <c r="I204" s="132" t="s">
        <v>2705</v>
      </c>
      <c r="J204" s="132" t="s">
        <v>2706</v>
      </c>
      <c r="K204" s="132" t="s">
        <v>2707</v>
      </c>
      <c r="L204" s="112">
        <f>_xlfn.XLOOKUP(B204,Summary!B:B,Summary!G:G)</f>
        <v>5</v>
      </c>
      <c r="M204" s="112"/>
      <c r="N204" s="112"/>
      <c r="O204" s="112" t="str">
        <f t="shared" si="4"/>
        <v>-255</v>
      </c>
      <c r="P204" s="112" t="s">
        <v>952</v>
      </c>
      <c r="Q204" s="112" t="s">
        <v>1065</v>
      </c>
      <c r="R204" s="112"/>
      <c r="S204" s="112"/>
      <c r="T204" s="112"/>
    </row>
    <row r="205" spans="1:20" ht="12.75" customHeight="1">
      <c r="A205" s="162" t="str">
        <f>_xlfn.XLOOKUP(B205,Summary!B:B,Summary!C:C,"")</f>
        <v>Antminer S21</v>
      </c>
      <c r="B205" s="132" t="s">
        <v>464</v>
      </c>
      <c r="C205" s="172" t="s">
        <v>2708</v>
      </c>
      <c r="D205" s="132" t="s">
        <v>2709</v>
      </c>
      <c r="E205" s="132" t="s">
        <v>2710</v>
      </c>
      <c r="F205" s="132" t="s">
        <v>2711</v>
      </c>
      <c r="G205" s="132" t="s">
        <v>2712</v>
      </c>
      <c r="H205" s="132" t="s">
        <v>2713</v>
      </c>
      <c r="I205" s="132" t="s">
        <v>2714</v>
      </c>
      <c r="J205" s="132" t="s">
        <v>2715</v>
      </c>
      <c r="K205" s="132" t="s">
        <v>2716</v>
      </c>
      <c r="L205" s="112">
        <f>_xlfn.XLOOKUP(B205,Summary!B:B,Summary!G:G)</f>
        <v>5</v>
      </c>
      <c r="M205" s="112"/>
      <c r="N205" s="112"/>
      <c r="O205" s="112" t="str">
        <f t="shared" si="4"/>
        <v>-255</v>
      </c>
      <c r="P205" s="112" t="s">
        <v>952</v>
      </c>
      <c r="Q205" s="112" t="s">
        <v>1065</v>
      </c>
      <c r="R205" s="112"/>
      <c r="S205" s="112"/>
      <c r="T205" s="112"/>
    </row>
    <row r="206" spans="1:20" ht="12.75" customHeight="1">
      <c r="A206" s="162" t="str">
        <f>_xlfn.XLOOKUP(B206,Summary!B:B,Summary!C:C,"")</f>
        <v>Antminer S21</v>
      </c>
      <c r="B206" s="132" t="s">
        <v>465</v>
      </c>
      <c r="C206" s="172" t="s">
        <v>2717</v>
      </c>
      <c r="D206" s="132" t="s">
        <v>2718</v>
      </c>
      <c r="E206" s="132" t="s">
        <v>2719</v>
      </c>
      <c r="F206" s="132" t="s">
        <v>2720</v>
      </c>
      <c r="G206" s="132" t="s">
        <v>2721</v>
      </c>
      <c r="H206" s="132" t="s">
        <v>2722</v>
      </c>
      <c r="I206" s="132" t="s">
        <v>2723</v>
      </c>
      <c r="J206" s="132" t="s">
        <v>2724</v>
      </c>
      <c r="K206" s="132" t="s">
        <v>2725</v>
      </c>
      <c r="L206" s="112">
        <f>_xlfn.XLOOKUP(B206,Summary!B:B,Summary!G:G)</f>
        <v>5</v>
      </c>
      <c r="M206" s="112"/>
      <c r="N206" s="112"/>
      <c r="O206" s="112" t="str">
        <f t="shared" si="4"/>
        <v>-255</v>
      </c>
      <c r="P206" s="112" t="s">
        <v>952</v>
      </c>
      <c r="Q206" s="112" t="s">
        <v>1065</v>
      </c>
      <c r="R206" s="112"/>
      <c r="S206" s="112"/>
      <c r="T206" s="112"/>
    </row>
    <row r="207" spans="1:20" ht="12.75" customHeight="1">
      <c r="A207" s="162" t="str">
        <f>_xlfn.XLOOKUP(B207,Summary!B:B,Summary!C:C,"")</f>
        <v>Antminer S21</v>
      </c>
      <c r="B207" s="132" t="s">
        <v>468</v>
      </c>
      <c r="C207" s="172" t="s">
        <v>2726</v>
      </c>
      <c r="D207" s="132" t="s">
        <v>2727</v>
      </c>
      <c r="E207" s="132" t="s">
        <v>2728</v>
      </c>
      <c r="F207" s="132" t="s">
        <v>2729</v>
      </c>
      <c r="G207" s="132" t="s">
        <v>2730</v>
      </c>
      <c r="H207" s="132" t="s">
        <v>2731</v>
      </c>
      <c r="I207" s="132" t="s">
        <v>2732</v>
      </c>
      <c r="J207" s="132" t="s">
        <v>2733</v>
      </c>
      <c r="K207" s="132" t="s">
        <v>2734</v>
      </c>
      <c r="L207" s="112">
        <f>_xlfn.XLOOKUP(B207,Summary!B:B,Summary!G:G)</f>
        <v>5</v>
      </c>
      <c r="M207" s="112"/>
      <c r="N207" s="112"/>
      <c r="O207" s="112" t="str">
        <f t="shared" si="4"/>
        <v>-255</v>
      </c>
      <c r="P207" s="112" t="s">
        <v>952</v>
      </c>
      <c r="Q207" s="112" t="s">
        <v>1065</v>
      </c>
      <c r="R207" s="112"/>
      <c r="S207" s="112"/>
      <c r="T207" s="112"/>
    </row>
    <row r="208" spans="1:20" ht="12.75" customHeight="1">
      <c r="A208" s="162" t="str">
        <f>_xlfn.XLOOKUP(B208,Summary!B:B,Summary!C:C,"")</f>
        <v>Antminer S21</v>
      </c>
      <c r="B208" s="132" t="s">
        <v>469</v>
      </c>
      <c r="C208" s="172" t="s">
        <v>2735</v>
      </c>
      <c r="D208" s="132" t="s">
        <v>2736</v>
      </c>
      <c r="E208" s="132" t="s">
        <v>2737</v>
      </c>
      <c r="F208" s="132" t="s">
        <v>2738</v>
      </c>
      <c r="G208" s="132" t="s">
        <v>2739</v>
      </c>
      <c r="H208" s="132" t="s">
        <v>2740</v>
      </c>
      <c r="I208" s="132" t="s">
        <v>2741</v>
      </c>
      <c r="J208" s="132" t="s">
        <v>2742</v>
      </c>
      <c r="K208" s="132" t="s">
        <v>2743</v>
      </c>
      <c r="L208" s="112">
        <f>_xlfn.XLOOKUP(B208,Summary!B:B,Summary!G:G)</f>
        <v>5</v>
      </c>
      <c r="M208" s="112"/>
      <c r="N208" s="112"/>
      <c r="O208" s="112" t="str">
        <f t="shared" si="4"/>
        <v>-255</v>
      </c>
      <c r="P208" s="112" t="s">
        <v>952</v>
      </c>
      <c r="Q208" s="112" t="s">
        <v>1065</v>
      </c>
      <c r="R208" s="112"/>
      <c r="S208" s="112"/>
      <c r="T208" s="112"/>
    </row>
    <row r="209" spans="1:20" ht="12.75" customHeight="1">
      <c r="A209" s="162" t="str">
        <f>_xlfn.XLOOKUP(B209,Summary!B:B,Summary!C:C,"")</f>
        <v>Antminer S21</v>
      </c>
      <c r="B209" s="132" t="s">
        <v>472</v>
      </c>
      <c r="C209" s="172" t="s">
        <v>2744</v>
      </c>
      <c r="D209" s="132" t="s">
        <v>2745</v>
      </c>
      <c r="E209" s="132" t="s">
        <v>2746</v>
      </c>
      <c r="F209" s="132" t="s">
        <v>2747</v>
      </c>
      <c r="G209" s="132" t="s">
        <v>2748</v>
      </c>
      <c r="H209" s="132" t="s">
        <v>2749</v>
      </c>
      <c r="I209" s="132" t="s">
        <v>2750</v>
      </c>
      <c r="J209" s="132" t="s">
        <v>2751</v>
      </c>
      <c r="K209" s="132" t="s">
        <v>2752</v>
      </c>
      <c r="L209" s="112">
        <f>_xlfn.XLOOKUP(B209,Summary!B:B,Summary!G:G)</f>
        <v>5</v>
      </c>
      <c r="M209" s="112"/>
      <c r="N209" s="112"/>
      <c r="O209" s="112" t="str">
        <f t="shared" si="4"/>
        <v>-255</v>
      </c>
      <c r="P209" s="112" t="s">
        <v>952</v>
      </c>
      <c r="Q209" s="112" t="s">
        <v>1065</v>
      </c>
      <c r="R209" s="112"/>
      <c r="S209" s="112"/>
      <c r="T209" s="112"/>
    </row>
    <row r="210" spans="1:20" ht="12.75" customHeight="1">
      <c r="A210" s="173" t="str">
        <f>_xlfn.XLOOKUP(B210,Summary!B:B,Summary!C:C,"")</f>
        <v>** NOT USED **</v>
      </c>
      <c r="B210" s="150" t="s">
        <v>473</v>
      </c>
      <c r="C210" s="151" t="s">
        <v>2753</v>
      </c>
      <c r="D210" s="152" t="s">
        <v>2754</v>
      </c>
      <c r="E210" s="152" t="s">
        <v>2755</v>
      </c>
      <c r="F210" s="152" t="s">
        <v>2756</v>
      </c>
      <c r="G210" s="152" t="s">
        <v>2757</v>
      </c>
      <c r="H210" s="152" t="s">
        <v>2758</v>
      </c>
      <c r="I210" s="152" t="s">
        <v>2759</v>
      </c>
      <c r="J210" s="152" t="s">
        <v>2760</v>
      </c>
      <c r="K210" s="152" t="s">
        <v>2761</v>
      </c>
      <c r="L210" s="112">
        <f>_xlfn.XLOOKUP(B210,Summary!B:B,Summary!G:G)</f>
        <v>5</v>
      </c>
      <c r="M210" s="112"/>
      <c r="N210" s="112"/>
      <c r="O210" s="112" t="str">
        <f t="shared" si="4"/>
        <v>-255</v>
      </c>
      <c r="R210" s="112"/>
      <c r="S210" s="112"/>
      <c r="T210" s="112"/>
    </row>
    <row r="211" spans="1:20" ht="12.75" customHeight="1">
      <c r="A211" s="173" t="str">
        <f>_xlfn.XLOOKUP(B211,Summary!B:B,Summary!C:C,"")</f>
        <v>** NOT USED **</v>
      </c>
      <c r="B211" s="150" t="s">
        <v>475</v>
      </c>
      <c r="C211" s="151" t="s">
        <v>2762</v>
      </c>
      <c r="D211" s="152" t="s">
        <v>2763</v>
      </c>
      <c r="E211" s="152" t="s">
        <v>2764</v>
      </c>
      <c r="F211" s="152" t="s">
        <v>2765</v>
      </c>
      <c r="G211" s="152" t="s">
        <v>2766</v>
      </c>
      <c r="H211" s="152" t="s">
        <v>2767</v>
      </c>
      <c r="I211" s="152" t="s">
        <v>2768</v>
      </c>
      <c r="J211" s="152" t="s">
        <v>2769</v>
      </c>
      <c r="K211" s="152" t="s">
        <v>2770</v>
      </c>
      <c r="L211" s="112">
        <f>_xlfn.XLOOKUP(B211,Summary!B:B,Summary!G:G)</f>
        <v>5</v>
      </c>
      <c r="M211" s="112"/>
      <c r="N211" s="112"/>
      <c r="O211" s="112" t="str">
        <f t="shared" si="4"/>
        <v>-255</v>
      </c>
      <c r="R211" s="112"/>
      <c r="S211" s="112"/>
      <c r="T211" s="112"/>
    </row>
    <row r="212" spans="1:20" ht="12.75" customHeight="1">
      <c r="A212" s="161" t="str">
        <f>_xlfn.XLOOKUP(B212,Summary!B:B,Summary!C:C,"")</f>
        <v>Antminer S21</v>
      </c>
      <c r="B212" s="134" t="s">
        <v>485</v>
      </c>
      <c r="C212" s="174" t="s">
        <v>2771</v>
      </c>
      <c r="D212" s="134" t="s">
        <v>2772</v>
      </c>
      <c r="E212" s="134" t="s">
        <v>2773</v>
      </c>
      <c r="F212" s="134" t="s">
        <v>2774</v>
      </c>
      <c r="G212" s="134" t="s">
        <v>2775</v>
      </c>
      <c r="H212" s="134" t="s">
        <v>2776</v>
      </c>
      <c r="I212" s="134" t="s">
        <v>2777</v>
      </c>
      <c r="J212" s="134" t="s">
        <v>2778</v>
      </c>
      <c r="K212" s="134" t="s">
        <v>2779</v>
      </c>
      <c r="L212" s="112">
        <f>_xlfn.XLOOKUP(B212,Summary!B:B,Summary!G:G)</f>
        <v>6</v>
      </c>
      <c r="M212" s="112"/>
      <c r="N212" s="112"/>
      <c r="O212" s="112" t="str">
        <f t="shared" si="4"/>
        <v>-255</v>
      </c>
      <c r="P212" s="112" t="s">
        <v>2067</v>
      </c>
      <c r="Q212" s="112" t="s">
        <v>1065</v>
      </c>
      <c r="R212" s="112"/>
      <c r="S212" s="112"/>
      <c r="T212" s="112"/>
    </row>
    <row r="213" spans="1:20" ht="12.75" customHeight="1">
      <c r="A213" s="161" t="str">
        <f>_xlfn.XLOOKUP(B213,Summary!B:B,Summary!C:C,"")</f>
        <v>Antminer S21</v>
      </c>
      <c r="B213" s="134" t="s">
        <v>489</v>
      </c>
      <c r="C213" s="174" t="s">
        <v>2780</v>
      </c>
      <c r="D213" s="134" t="s">
        <v>2781</v>
      </c>
      <c r="E213" s="134" t="s">
        <v>2782</v>
      </c>
      <c r="F213" s="134" t="s">
        <v>2783</v>
      </c>
      <c r="G213" s="134" t="s">
        <v>2784</v>
      </c>
      <c r="H213" s="134" t="s">
        <v>2785</v>
      </c>
      <c r="I213" s="134" t="s">
        <v>2786</v>
      </c>
      <c r="J213" s="134" t="s">
        <v>2787</v>
      </c>
      <c r="K213" s="134" t="s">
        <v>2788</v>
      </c>
      <c r="L213" s="112">
        <f>_xlfn.XLOOKUP(B213,Summary!B:B,Summary!G:G)</f>
        <v>6</v>
      </c>
      <c r="M213" s="112"/>
      <c r="N213" s="112"/>
      <c r="O213" s="112" t="str">
        <f t="shared" si="4"/>
        <v>-255</v>
      </c>
      <c r="P213" s="112" t="s">
        <v>2067</v>
      </c>
      <c r="Q213" s="112" t="s">
        <v>1065</v>
      </c>
      <c r="R213" s="112"/>
      <c r="S213" s="112"/>
      <c r="T213" s="112"/>
    </row>
    <row r="214" spans="1:20" ht="12.75" customHeight="1">
      <c r="A214" s="161" t="str">
        <f>_xlfn.XLOOKUP(B214,Summary!B:B,Summary!C:C,"")</f>
        <v>Antminer S21</v>
      </c>
      <c r="B214" s="134" t="s">
        <v>490</v>
      </c>
      <c r="C214" s="174" t="s">
        <v>2789</v>
      </c>
      <c r="D214" s="134" t="s">
        <v>2790</v>
      </c>
      <c r="E214" s="134" t="s">
        <v>2791</v>
      </c>
      <c r="F214" s="134" t="s">
        <v>2792</v>
      </c>
      <c r="G214" s="134" t="s">
        <v>2793</v>
      </c>
      <c r="H214" s="134" t="s">
        <v>2794</v>
      </c>
      <c r="I214" s="134" t="s">
        <v>2795</v>
      </c>
      <c r="J214" s="134" t="s">
        <v>2796</v>
      </c>
      <c r="K214" s="134" t="s">
        <v>2797</v>
      </c>
      <c r="L214" s="112">
        <f>_xlfn.XLOOKUP(B214,Summary!B:B,Summary!G:G)</f>
        <v>6</v>
      </c>
      <c r="M214" s="112"/>
      <c r="N214" s="112"/>
      <c r="O214" s="112" t="str">
        <f t="shared" si="4"/>
        <v>-255</v>
      </c>
      <c r="P214" s="112" t="s">
        <v>2067</v>
      </c>
      <c r="Q214" s="112" t="s">
        <v>1065</v>
      </c>
      <c r="R214" s="112"/>
      <c r="S214" s="112"/>
      <c r="T214" s="112"/>
    </row>
    <row r="215" spans="1:20" ht="12.75" customHeight="1">
      <c r="A215" s="161" t="str">
        <f>_xlfn.XLOOKUP(B215,Summary!B:B,Summary!C:C,"")</f>
        <v>Antminer S21</v>
      </c>
      <c r="B215" s="134" t="s">
        <v>493</v>
      </c>
      <c r="C215" s="174" t="s">
        <v>2798</v>
      </c>
      <c r="D215" s="134" t="s">
        <v>2799</v>
      </c>
      <c r="E215" s="134" t="s">
        <v>2800</v>
      </c>
      <c r="F215" s="134" t="s">
        <v>2801</v>
      </c>
      <c r="G215" s="134" t="s">
        <v>2802</v>
      </c>
      <c r="H215" s="134" t="s">
        <v>2803</v>
      </c>
      <c r="I215" s="134" t="s">
        <v>2804</v>
      </c>
      <c r="J215" s="134" t="s">
        <v>2805</v>
      </c>
      <c r="K215" s="134" t="s">
        <v>2806</v>
      </c>
      <c r="L215" s="112">
        <f>_xlfn.XLOOKUP(B215,Summary!B:B,Summary!G:G)</f>
        <v>6</v>
      </c>
      <c r="M215" s="112"/>
      <c r="N215" s="112"/>
      <c r="O215" s="112" t="str">
        <f t="shared" si="4"/>
        <v>-255</v>
      </c>
      <c r="P215" s="112" t="s">
        <v>2067</v>
      </c>
      <c r="Q215" s="112" t="s">
        <v>1065</v>
      </c>
      <c r="R215" s="112"/>
      <c r="S215" s="112"/>
      <c r="T215" s="112"/>
    </row>
    <row r="216" spans="1:20" ht="12.75" customHeight="1">
      <c r="A216" s="161" t="str">
        <f>_xlfn.XLOOKUP(B216,Summary!B:B,Summary!C:C,"")</f>
        <v>Antminer S21</v>
      </c>
      <c r="B216" s="134" t="s">
        <v>494</v>
      </c>
      <c r="C216" s="174" t="s">
        <v>2807</v>
      </c>
      <c r="D216" s="134" t="s">
        <v>2808</v>
      </c>
      <c r="E216" s="134" t="s">
        <v>2809</v>
      </c>
      <c r="F216" s="134" t="s">
        <v>2810</v>
      </c>
      <c r="G216" s="134" t="s">
        <v>2811</v>
      </c>
      <c r="H216" s="134" t="s">
        <v>2812</v>
      </c>
      <c r="I216" s="134" t="s">
        <v>2813</v>
      </c>
      <c r="J216" s="134" t="s">
        <v>2814</v>
      </c>
      <c r="K216" s="134" t="s">
        <v>2815</v>
      </c>
      <c r="L216" s="112">
        <f>_xlfn.XLOOKUP(B216,Summary!B:B,Summary!G:G)</f>
        <v>6</v>
      </c>
      <c r="M216" s="112"/>
      <c r="N216" s="112"/>
      <c r="O216" s="112" t="str">
        <f t="shared" si="4"/>
        <v>-255</v>
      </c>
      <c r="P216" s="112" t="s">
        <v>2067</v>
      </c>
      <c r="Q216" s="112" t="s">
        <v>1065</v>
      </c>
      <c r="R216" s="112"/>
      <c r="S216" s="112"/>
      <c r="T216" s="112"/>
    </row>
    <row r="217" spans="1:20" ht="12.75" customHeight="1">
      <c r="A217" s="161" t="str">
        <f>_xlfn.XLOOKUP(B217,Summary!B:B,Summary!C:C,"")</f>
        <v>Antminer S21</v>
      </c>
      <c r="B217" s="134" t="s">
        <v>496</v>
      </c>
      <c r="C217" s="174" t="s">
        <v>2816</v>
      </c>
      <c r="D217" s="134" t="s">
        <v>2817</v>
      </c>
      <c r="E217" s="134" t="s">
        <v>2818</v>
      </c>
      <c r="F217" s="134" t="s">
        <v>2819</v>
      </c>
      <c r="G217" s="134" t="s">
        <v>2820</v>
      </c>
      <c r="H217" s="134" t="s">
        <v>2821</v>
      </c>
      <c r="I217" s="134" t="s">
        <v>2822</v>
      </c>
      <c r="J217" s="134" t="s">
        <v>2823</v>
      </c>
      <c r="K217" s="134" t="s">
        <v>2824</v>
      </c>
      <c r="L217" s="112">
        <f>_xlfn.XLOOKUP(B217,Summary!B:B,Summary!G:G)</f>
        <v>6</v>
      </c>
      <c r="M217" s="112"/>
      <c r="N217" s="112"/>
      <c r="O217" s="112" t="str">
        <f t="shared" si="4"/>
        <v>-255</v>
      </c>
      <c r="P217" s="112" t="s">
        <v>2067</v>
      </c>
      <c r="Q217" s="112" t="s">
        <v>1065</v>
      </c>
      <c r="R217" s="112"/>
      <c r="S217" s="112"/>
      <c r="T217" s="112"/>
    </row>
    <row r="218" spans="1:20" ht="12.75" customHeight="1">
      <c r="A218" s="161" t="str">
        <f>_xlfn.XLOOKUP(B218,Summary!B:B,Summary!C:C,"")</f>
        <v>Antminer S21</v>
      </c>
      <c r="B218" s="134" t="s">
        <v>497</v>
      </c>
      <c r="C218" s="174" t="s">
        <v>2825</v>
      </c>
      <c r="D218" s="134" t="s">
        <v>2826</v>
      </c>
      <c r="E218" s="134" t="s">
        <v>2827</v>
      </c>
      <c r="F218" s="134" t="s">
        <v>2828</v>
      </c>
      <c r="G218" s="134" t="s">
        <v>2829</v>
      </c>
      <c r="H218" s="134" t="s">
        <v>2830</v>
      </c>
      <c r="I218" s="134" t="s">
        <v>2831</v>
      </c>
      <c r="J218" s="134" t="s">
        <v>2832</v>
      </c>
      <c r="K218" s="134" t="s">
        <v>2833</v>
      </c>
      <c r="L218" s="112">
        <f>_xlfn.XLOOKUP(B218,Summary!B:B,Summary!G:G)</f>
        <v>6</v>
      </c>
      <c r="M218" s="112"/>
      <c r="N218" s="112"/>
      <c r="O218" s="112" t="str">
        <f t="shared" si="4"/>
        <v>-255</v>
      </c>
      <c r="P218" s="112" t="s">
        <v>2067</v>
      </c>
      <c r="Q218" s="112" t="s">
        <v>1065</v>
      </c>
      <c r="R218" s="112"/>
      <c r="S218" s="112"/>
      <c r="T218" s="112"/>
    </row>
    <row r="219" spans="1:20" ht="12.75" customHeight="1">
      <c r="A219" s="161" t="str">
        <f>_xlfn.XLOOKUP(B219,Summary!B:B,Summary!C:C,"")</f>
        <v>Antminer S21</v>
      </c>
      <c r="B219" s="134" t="s">
        <v>500</v>
      </c>
      <c r="C219" s="174" t="s">
        <v>2834</v>
      </c>
      <c r="D219" s="134" t="s">
        <v>2835</v>
      </c>
      <c r="E219" s="134" t="s">
        <v>2836</v>
      </c>
      <c r="F219" s="134" t="s">
        <v>2837</v>
      </c>
      <c r="G219" s="134" t="s">
        <v>2838</v>
      </c>
      <c r="H219" s="134" t="s">
        <v>2839</v>
      </c>
      <c r="I219" s="134" t="s">
        <v>2840</v>
      </c>
      <c r="J219" s="134" t="s">
        <v>2841</v>
      </c>
      <c r="K219" s="134" t="s">
        <v>2842</v>
      </c>
      <c r="L219" s="112">
        <f>_xlfn.XLOOKUP(B219,Summary!B:B,Summary!G:G)</f>
        <v>6</v>
      </c>
      <c r="M219" s="112"/>
      <c r="N219" s="112"/>
      <c r="O219" s="112" t="str">
        <f t="shared" si="4"/>
        <v>-255</v>
      </c>
      <c r="P219" s="112" t="s">
        <v>2067</v>
      </c>
      <c r="Q219" s="112" t="s">
        <v>1065</v>
      </c>
      <c r="R219" s="112"/>
      <c r="S219" s="112"/>
      <c r="T219" s="112"/>
    </row>
    <row r="220" spans="1:20" ht="12.75" customHeight="1">
      <c r="A220" s="161" t="str">
        <f>_xlfn.XLOOKUP(B220,Summary!B:B,Summary!C:C,"")</f>
        <v>Antminer S21</v>
      </c>
      <c r="B220" s="134" t="s">
        <v>501</v>
      </c>
      <c r="C220" s="174" t="s">
        <v>2843</v>
      </c>
      <c r="D220" s="134" t="s">
        <v>2844</v>
      </c>
      <c r="E220" s="134" t="s">
        <v>2845</v>
      </c>
      <c r="F220" s="134" t="s">
        <v>2846</v>
      </c>
      <c r="G220" s="134" t="s">
        <v>2847</v>
      </c>
      <c r="H220" s="134" t="s">
        <v>2848</v>
      </c>
      <c r="I220" s="134" t="s">
        <v>2849</v>
      </c>
      <c r="J220" s="134" t="s">
        <v>2850</v>
      </c>
      <c r="K220" s="134" t="s">
        <v>2851</v>
      </c>
      <c r="L220" s="112">
        <f>_xlfn.XLOOKUP(B220,Summary!B:B,Summary!G:G)</f>
        <v>6</v>
      </c>
      <c r="M220" s="112"/>
      <c r="N220" s="112"/>
      <c r="O220" s="112" t="str">
        <f t="shared" si="4"/>
        <v>-255</v>
      </c>
      <c r="P220" s="112" t="s">
        <v>2067</v>
      </c>
      <c r="Q220" s="112" t="s">
        <v>1065</v>
      </c>
      <c r="R220" s="112"/>
      <c r="S220" s="112"/>
      <c r="T220" s="112"/>
    </row>
    <row r="221" spans="1:20" ht="12.75" customHeight="1">
      <c r="A221" s="161" t="str">
        <f>_xlfn.XLOOKUP(B221,Summary!B:B,Summary!C:C,"")</f>
        <v>Antminer S21</v>
      </c>
      <c r="B221" s="134" t="s">
        <v>504</v>
      </c>
      <c r="C221" s="174" t="s">
        <v>2852</v>
      </c>
      <c r="D221" s="134" t="s">
        <v>2853</v>
      </c>
      <c r="E221" s="134" t="s">
        <v>2854</v>
      </c>
      <c r="F221" s="134" t="s">
        <v>2855</v>
      </c>
      <c r="G221" s="134" t="s">
        <v>2856</v>
      </c>
      <c r="H221" s="134" t="s">
        <v>2857</v>
      </c>
      <c r="I221" s="134" t="s">
        <v>2858</v>
      </c>
      <c r="J221" s="134" t="s">
        <v>2859</v>
      </c>
      <c r="K221" s="134" t="s">
        <v>2860</v>
      </c>
      <c r="L221" s="112">
        <f>_xlfn.XLOOKUP(B221,Summary!B:B,Summary!G:G)</f>
        <v>6</v>
      </c>
      <c r="M221" s="112"/>
      <c r="N221" s="112"/>
      <c r="O221" s="112" t="str">
        <f t="shared" si="4"/>
        <v>-255</v>
      </c>
      <c r="P221" s="112" t="s">
        <v>2067</v>
      </c>
      <c r="Q221" s="112" t="s">
        <v>1065</v>
      </c>
      <c r="R221" s="112"/>
      <c r="S221" s="112"/>
      <c r="T221" s="112"/>
    </row>
    <row r="222" spans="1:20" ht="12.75" customHeight="1">
      <c r="A222" s="161" t="str">
        <f>_xlfn.XLOOKUP(B222,Summary!B:B,Summary!C:C,"")</f>
        <v>Antminer S21</v>
      </c>
      <c r="B222" s="134" t="s">
        <v>505</v>
      </c>
      <c r="C222" s="174" t="s">
        <v>2861</v>
      </c>
      <c r="D222" s="134" t="s">
        <v>2862</v>
      </c>
      <c r="E222" s="134" t="s">
        <v>2863</v>
      </c>
      <c r="F222" s="134" t="s">
        <v>2864</v>
      </c>
      <c r="G222" s="134" t="s">
        <v>2865</v>
      </c>
      <c r="H222" s="134" t="s">
        <v>2866</v>
      </c>
      <c r="I222" s="134" t="s">
        <v>2867</v>
      </c>
      <c r="J222" s="134" t="s">
        <v>2868</v>
      </c>
      <c r="K222" s="134" t="s">
        <v>2869</v>
      </c>
      <c r="L222" s="112">
        <f>_xlfn.XLOOKUP(B222,Summary!B:B,Summary!G:G)</f>
        <v>6</v>
      </c>
      <c r="M222" s="112"/>
      <c r="N222" s="112"/>
      <c r="O222" s="112" t="str">
        <f t="shared" si="4"/>
        <v>-255</v>
      </c>
      <c r="P222" s="112" t="s">
        <v>2067</v>
      </c>
      <c r="Q222" s="112" t="s">
        <v>1065</v>
      </c>
      <c r="R222" s="112"/>
      <c r="S222" s="112"/>
      <c r="T222" s="112"/>
    </row>
    <row r="223" spans="1:20" ht="12.75" customHeight="1">
      <c r="A223" s="161" t="str">
        <f>_xlfn.XLOOKUP(B223,Summary!B:B,Summary!C:C,"")</f>
        <v>Antminer S21</v>
      </c>
      <c r="B223" s="134" t="s">
        <v>508</v>
      </c>
      <c r="C223" s="174" t="s">
        <v>2870</v>
      </c>
      <c r="D223" s="134" t="s">
        <v>2871</v>
      </c>
      <c r="E223" s="134" t="s">
        <v>2872</v>
      </c>
      <c r="F223" s="134" t="s">
        <v>2873</v>
      </c>
      <c r="G223" s="134" t="s">
        <v>2874</v>
      </c>
      <c r="H223" s="134" t="s">
        <v>2875</v>
      </c>
      <c r="I223" s="134" t="s">
        <v>2876</v>
      </c>
      <c r="J223" s="134" t="s">
        <v>2877</v>
      </c>
      <c r="K223" s="134" t="s">
        <v>2878</v>
      </c>
      <c r="L223" s="112">
        <f>_xlfn.XLOOKUP(B223,Summary!B:B,Summary!G:G)</f>
        <v>6</v>
      </c>
      <c r="M223" s="112"/>
      <c r="N223" s="112"/>
      <c r="O223" s="112" t="str">
        <f t="shared" ref="O223:O286" si="5">N223&amp;"-255"</f>
        <v>-255</v>
      </c>
      <c r="P223" s="112" t="s">
        <v>2067</v>
      </c>
      <c r="Q223" s="112" t="s">
        <v>1065</v>
      </c>
      <c r="R223" s="112"/>
      <c r="S223" s="112"/>
      <c r="T223" s="112"/>
    </row>
    <row r="224" spans="1:20" ht="12.75" customHeight="1">
      <c r="A224" s="161" t="str">
        <f>_xlfn.XLOOKUP(B224,Summary!B:B,Summary!C:C,"")</f>
        <v>Antminer S21</v>
      </c>
      <c r="B224" s="134" t="s">
        <v>523</v>
      </c>
      <c r="C224" s="174" t="s">
        <v>2879</v>
      </c>
      <c r="D224" s="134" t="s">
        <v>2880</v>
      </c>
      <c r="E224" s="134" t="s">
        <v>2881</v>
      </c>
      <c r="F224" s="134" t="s">
        <v>2882</v>
      </c>
      <c r="G224" s="134" t="s">
        <v>2883</v>
      </c>
      <c r="H224" s="134" t="s">
        <v>2884</v>
      </c>
      <c r="I224" s="134" t="s">
        <v>2885</v>
      </c>
      <c r="J224" s="134" t="s">
        <v>2886</v>
      </c>
      <c r="K224" s="134" t="s">
        <v>2887</v>
      </c>
      <c r="L224" s="112">
        <f>_xlfn.XLOOKUP(B224,Summary!B:B,Summary!G:G)</f>
        <v>6</v>
      </c>
      <c r="M224" s="112"/>
      <c r="N224" s="112"/>
      <c r="O224" s="112" t="str">
        <f t="shared" si="5"/>
        <v>-255</v>
      </c>
      <c r="P224" s="112" t="s">
        <v>2067</v>
      </c>
      <c r="Q224" s="112" t="s">
        <v>1065</v>
      </c>
      <c r="R224" s="112"/>
      <c r="S224" s="112"/>
      <c r="T224" s="112"/>
    </row>
    <row r="225" spans="1:20" ht="12.75" customHeight="1">
      <c r="A225" s="161" t="str">
        <f>_xlfn.XLOOKUP(B225,Summary!B:B,Summary!C:C,"")</f>
        <v>Antminer S21</v>
      </c>
      <c r="B225" s="134" t="s">
        <v>526</v>
      </c>
      <c r="C225" s="174" t="s">
        <v>2888</v>
      </c>
      <c r="D225" s="134" t="s">
        <v>2889</v>
      </c>
      <c r="E225" s="134" t="s">
        <v>2890</v>
      </c>
      <c r="F225" s="134" t="s">
        <v>2891</v>
      </c>
      <c r="G225" s="134" t="s">
        <v>2892</v>
      </c>
      <c r="H225" s="134" t="s">
        <v>2893</v>
      </c>
      <c r="I225" s="134" t="s">
        <v>2894</v>
      </c>
      <c r="J225" s="134" t="s">
        <v>2895</v>
      </c>
      <c r="K225" s="134" t="s">
        <v>2896</v>
      </c>
      <c r="L225" s="112">
        <f>_xlfn.XLOOKUP(B225,Summary!B:B,Summary!G:G)</f>
        <v>6</v>
      </c>
      <c r="M225" s="112"/>
      <c r="N225" s="112"/>
      <c r="O225" s="112" t="str">
        <f t="shared" si="5"/>
        <v>-255</v>
      </c>
      <c r="P225" s="112" t="s">
        <v>2067</v>
      </c>
      <c r="Q225" s="112" t="s">
        <v>1065</v>
      </c>
      <c r="R225" s="112"/>
      <c r="S225" s="112"/>
      <c r="T225" s="112"/>
    </row>
    <row r="226" spans="1:20" ht="12.75" customHeight="1">
      <c r="A226" s="161" t="str">
        <f>_xlfn.XLOOKUP(B226,Summary!B:B,Summary!C:C,"")</f>
        <v>Antminer S21</v>
      </c>
      <c r="B226" s="134" t="s">
        <v>527</v>
      </c>
      <c r="C226" s="174" t="s">
        <v>2897</v>
      </c>
      <c r="D226" s="134" t="s">
        <v>2898</v>
      </c>
      <c r="E226" s="134" t="s">
        <v>2899</v>
      </c>
      <c r="F226" s="134" t="s">
        <v>2900</v>
      </c>
      <c r="G226" s="134" t="s">
        <v>2901</v>
      </c>
      <c r="H226" s="134" t="s">
        <v>2902</v>
      </c>
      <c r="I226" s="134" t="s">
        <v>2903</v>
      </c>
      <c r="J226" s="134" t="s">
        <v>2904</v>
      </c>
      <c r="K226" s="134" t="s">
        <v>2905</v>
      </c>
      <c r="L226" s="112">
        <f>_xlfn.XLOOKUP(B226,Summary!B:B,Summary!G:G)</f>
        <v>6</v>
      </c>
      <c r="M226" s="112"/>
      <c r="N226" s="112"/>
      <c r="O226" s="112" t="str">
        <f t="shared" si="5"/>
        <v>-255</v>
      </c>
      <c r="P226" s="112" t="s">
        <v>2067</v>
      </c>
      <c r="Q226" s="112" t="s">
        <v>1065</v>
      </c>
      <c r="R226" s="112"/>
      <c r="S226" s="112"/>
      <c r="T226" s="112"/>
    </row>
    <row r="227" spans="1:20" ht="12.75" customHeight="1">
      <c r="A227" s="161" t="str">
        <f>_xlfn.XLOOKUP(B227,Summary!B:B,Summary!C:C,"")</f>
        <v>Antminer S21</v>
      </c>
      <c r="B227" s="134" t="s">
        <v>529</v>
      </c>
      <c r="C227" s="174" t="s">
        <v>2906</v>
      </c>
      <c r="D227" s="134" t="s">
        <v>2907</v>
      </c>
      <c r="E227" s="134" t="s">
        <v>2908</v>
      </c>
      <c r="F227" s="134" t="s">
        <v>2909</v>
      </c>
      <c r="G227" s="134" t="s">
        <v>2910</v>
      </c>
      <c r="H227" s="134" t="s">
        <v>2911</v>
      </c>
      <c r="I227" s="134" t="s">
        <v>2912</v>
      </c>
      <c r="J227" s="134" t="s">
        <v>2913</v>
      </c>
      <c r="K227" s="134" t="s">
        <v>2914</v>
      </c>
      <c r="L227" s="112">
        <f>_xlfn.XLOOKUP(B227,Summary!B:B,Summary!G:G)</f>
        <v>6</v>
      </c>
      <c r="M227" s="112"/>
      <c r="N227" s="112"/>
      <c r="O227" s="112" t="str">
        <f t="shared" si="5"/>
        <v>-255</v>
      </c>
      <c r="P227" s="112" t="s">
        <v>2067</v>
      </c>
      <c r="Q227" s="112" t="s">
        <v>1065</v>
      </c>
      <c r="R227" s="112"/>
      <c r="S227" s="112"/>
      <c r="T227" s="112"/>
    </row>
    <row r="228" spans="1:20" s="112" customFormat="1" ht="12.75" customHeight="1">
      <c r="A228" s="161" t="str">
        <f>_xlfn.XLOOKUP(B228,Summary!B:B,Summary!C:C,"")</f>
        <v>Antminer S21</v>
      </c>
      <c r="B228" s="134" t="s">
        <v>530</v>
      </c>
      <c r="C228" s="174" t="s">
        <v>2915</v>
      </c>
      <c r="D228" s="134" t="s">
        <v>2916</v>
      </c>
      <c r="E228" s="134" t="s">
        <v>2917</v>
      </c>
      <c r="F228" s="134" t="s">
        <v>2918</v>
      </c>
      <c r="G228" s="134" t="s">
        <v>2919</v>
      </c>
      <c r="H228" s="134" t="s">
        <v>2920</v>
      </c>
      <c r="I228" s="134" t="s">
        <v>2921</v>
      </c>
      <c r="J228" s="134" t="s">
        <v>2922</v>
      </c>
      <c r="K228" s="134" t="s">
        <v>2923</v>
      </c>
      <c r="L228" s="112">
        <f>_xlfn.XLOOKUP(B228,Summary!B:B,Summary!G:G)</f>
        <v>6</v>
      </c>
      <c r="O228" s="112" t="str">
        <f t="shared" si="5"/>
        <v>-255</v>
      </c>
      <c r="P228" s="112" t="s">
        <v>2067</v>
      </c>
      <c r="Q228" s="112" t="s">
        <v>1065</v>
      </c>
    </row>
    <row r="229" spans="1:20" s="112" customFormat="1" ht="12.75" customHeight="1">
      <c r="A229" s="161" t="str">
        <f>_xlfn.XLOOKUP(B229,Summary!B:B,Summary!C:C,"")</f>
        <v>Antminer S21</v>
      </c>
      <c r="B229" s="134" t="s">
        <v>533</v>
      </c>
      <c r="C229" s="174" t="s">
        <v>2924</v>
      </c>
      <c r="D229" s="134" t="s">
        <v>2925</v>
      </c>
      <c r="E229" s="134" t="s">
        <v>2926</v>
      </c>
      <c r="F229" s="134" t="s">
        <v>2927</v>
      </c>
      <c r="G229" s="134" t="s">
        <v>2928</v>
      </c>
      <c r="H229" s="134" t="s">
        <v>2929</v>
      </c>
      <c r="I229" s="134" t="s">
        <v>2930</v>
      </c>
      <c r="J229" s="134" t="s">
        <v>2931</v>
      </c>
      <c r="K229" s="134" t="s">
        <v>2932</v>
      </c>
      <c r="L229" s="112">
        <f>_xlfn.XLOOKUP(B229,Summary!B:B,Summary!G:G)</f>
        <v>6</v>
      </c>
      <c r="O229" s="112" t="str">
        <f t="shared" si="5"/>
        <v>-255</v>
      </c>
      <c r="P229" s="112" t="s">
        <v>2067</v>
      </c>
      <c r="Q229" s="112" t="s">
        <v>1065</v>
      </c>
    </row>
    <row r="230" spans="1:20" s="112" customFormat="1" ht="12.75" customHeight="1">
      <c r="A230" s="161" t="str">
        <f>_xlfn.XLOOKUP(B230,Summary!B:B,Summary!C:C,"")</f>
        <v>Antminer S21</v>
      </c>
      <c r="B230" s="134" t="s">
        <v>534</v>
      </c>
      <c r="C230" s="174" t="s">
        <v>2933</v>
      </c>
      <c r="D230" s="134" t="s">
        <v>2934</v>
      </c>
      <c r="E230" s="134" t="s">
        <v>2935</v>
      </c>
      <c r="F230" s="134" t="s">
        <v>2936</v>
      </c>
      <c r="G230" s="134" t="s">
        <v>2937</v>
      </c>
      <c r="H230" s="134" t="s">
        <v>2938</v>
      </c>
      <c r="I230" s="134" t="s">
        <v>2939</v>
      </c>
      <c r="J230" s="134" t="s">
        <v>2940</v>
      </c>
      <c r="K230" s="134" t="s">
        <v>2941</v>
      </c>
      <c r="L230" s="112">
        <f>_xlfn.XLOOKUP(B230,Summary!B:B,Summary!G:G)</f>
        <v>6</v>
      </c>
      <c r="O230" s="112" t="str">
        <f t="shared" si="5"/>
        <v>-255</v>
      </c>
      <c r="P230" s="112" t="s">
        <v>2067</v>
      </c>
      <c r="Q230" s="112" t="s">
        <v>1065</v>
      </c>
    </row>
    <row r="231" spans="1:20" s="112" customFormat="1" ht="12.75" customHeight="1">
      <c r="A231" s="161" t="str">
        <f>_xlfn.XLOOKUP(B231,Summary!B:B,Summary!C:C,"")</f>
        <v>Antminer S21</v>
      </c>
      <c r="B231" s="134" t="s">
        <v>537</v>
      </c>
      <c r="C231" s="174" t="s">
        <v>2942</v>
      </c>
      <c r="D231" s="134" t="s">
        <v>2943</v>
      </c>
      <c r="E231" s="134" t="s">
        <v>2944</v>
      </c>
      <c r="F231" s="134" t="s">
        <v>2945</v>
      </c>
      <c r="G231" s="134" t="s">
        <v>2946</v>
      </c>
      <c r="H231" s="134" t="s">
        <v>2947</v>
      </c>
      <c r="I231" s="134" t="s">
        <v>2948</v>
      </c>
      <c r="J231" s="134" t="s">
        <v>2949</v>
      </c>
      <c r="K231" s="134" t="s">
        <v>2950</v>
      </c>
      <c r="L231" s="112">
        <f>_xlfn.XLOOKUP(B231,Summary!B:B,Summary!G:G)</f>
        <v>6</v>
      </c>
      <c r="O231" s="112" t="str">
        <f t="shared" si="5"/>
        <v>-255</v>
      </c>
      <c r="P231" s="112" t="s">
        <v>2067</v>
      </c>
      <c r="Q231" s="112" t="s">
        <v>1065</v>
      </c>
    </row>
    <row r="232" spans="1:20" s="112" customFormat="1" ht="12.75" customHeight="1">
      <c r="A232" s="161" t="str">
        <f>_xlfn.XLOOKUP(B232,Summary!B:B,Summary!C:C,"")</f>
        <v>Antminer S21</v>
      </c>
      <c r="B232" s="134" t="s">
        <v>538</v>
      </c>
      <c r="C232" s="174" t="s">
        <v>2951</v>
      </c>
      <c r="D232" s="134" t="s">
        <v>2952</v>
      </c>
      <c r="E232" s="134" t="s">
        <v>2953</v>
      </c>
      <c r="F232" s="134" t="s">
        <v>2954</v>
      </c>
      <c r="G232" s="134" t="s">
        <v>2955</v>
      </c>
      <c r="H232" s="134" t="s">
        <v>2956</v>
      </c>
      <c r="I232" s="134" t="s">
        <v>2957</v>
      </c>
      <c r="J232" s="134" t="s">
        <v>2958</v>
      </c>
      <c r="K232" s="134" t="s">
        <v>2959</v>
      </c>
      <c r="L232" s="112">
        <f>_xlfn.XLOOKUP(B232,Summary!B:B,Summary!G:G)</f>
        <v>6</v>
      </c>
      <c r="O232" s="112" t="str">
        <f t="shared" si="5"/>
        <v>-255</v>
      </c>
      <c r="P232" s="112" t="s">
        <v>2067</v>
      </c>
      <c r="Q232" s="112" t="s">
        <v>1065</v>
      </c>
    </row>
    <row r="233" spans="1:20" s="112" customFormat="1" ht="12.75" customHeight="1">
      <c r="A233" s="161" t="str">
        <f>_xlfn.XLOOKUP(B233,Summary!B:B,Summary!C:C,"")</f>
        <v>Antminer S21</v>
      </c>
      <c r="B233" s="134" t="s">
        <v>541</v>
      </c>
      <c r="C233" s="174" t="s">
        <v>2960</v>
      </c>
      <c r="D233" s="134" t="s">
        <v>2961</v>
      </c>
      <c r="E233" s="134" t="s">
        <v>2962</v>
      </c>
      <c r="F233" s="134" t="s">
        <v>2963</v>
      </c>
      <c r="G233" s="134" t="s">
        <v>2964</v>
      </c>
      <c r="H233" s="134" t="s">
        <v>2965</v>
      </c>
      <c r="I233" s="134" t="s">
        <v>2966</v>
      </c>
      <c r="J233" s="134" t="s">
        <v>2967</v>
      </c>
      <c r="K233" s="134" t="s">
        <v>2968</v>
      </c>
      <c r="L233" s="112">
        <f>_xlfn.XLOOKUP(B233,Summary!B:B,Summary!G:G)</f>
        <v>6</v>
      </c>
      <c r="O233" s="112" t="str">
        <f t="shared" si="5"/>
        <v>-255</v>
      </c>
      <c r="P233" s="112" t="s">
        <v>2067</v>
      </c>
      <c r="Q233" s="112" t="s">
        <v>1065</v>
      </c>
    </row>
    <row r="234" spans="1:20" s="112" customFormat="1" ht="12.75" customHeight="1">
      <c r="A234" s="161" t="str">
        <f>_xlfn.XLOOKUP(B234,Summary!B:B,Summary!C:C,"")</f>
        <v>Antminer S21</v>
      </c>
      <c r="B234" s="134" t="s">
        <v>542</v>
      </c>
      <c r="C234" s="174" t="s">
        <v>2969</v>
      </c>
      <c r="D234" s="134" t="s">
        <v>2970</v>
      </c>
      <c r="E234" s="134" t="s">
        <v>2971</v>
      </c>
      <c r="F234" s="134" t="s">
        <v>2972</v>
      </c>
      <c r="G234" s="134" t="s">
        <v>2973</v>
      </c>
      <c r="H234" s="134" t="s">
        <v>2974</v>
      </c>
      <c r="I234" s="134" t="s">
        <v>2975</v>
      </c>
      <c r="J234" s="134" t="s">
        <v>2976</v>
      </c>
      <c r="K234" s="134" t="s">
        <v>2977</v>
      </c>
      <c r="L234" s="112">
        <f>_xlfn.XLOOKUP(B234,Summary!B:B,Summary!G:G)</f>
        <v>6</v>
      </c>
      <c r="O234" s="112" t="str">
        <f t="shared" si="5"/>
        <v>-255</v>
      </c>
      <c r="P234" s="112" t="s">
        <v>2067</v>
      </c>
      <c r="Q234" s="112" t="s">
        <v>1065</v>
      </c>
    </row>
    <row r="235" spans="1:20" s="112" customFormat="1" ht="12.75" customHeight="1">
      <c r="A235" s="161" t="str">
        <f>_xlfn.XLOOKUP(B235,Summary!B:B,Summary!C:C,"")</f>
        <v>Antminer S21</v>
      </c>
      <c r="B235" s="134" t="s">
        <v>545</v>
      </c>
      <c r="C235" s="174" t="s">
        <v>2978</v>
      </c>
      <c r="D235" s="134" t="s">
        <v>2979</v>
      </c>
      <c r="E235" s="134" t="s">
        <v>2980</v>
      </c>
      <c r="F235" s="134" t="s">
        <v>2981</v>
      </c>
      <c r="G235" s="134" t="s">
        <v>2982</v>
      </c>
      <c r="H235" s="134" t="s">
        <v>2983</v>
      </c>
      <c r="I235" s="134" t="s">
        <v>2984</v>
      </c>
      <c r="J235" s="134" t="s">
        <v>2985</v>
      </c>
      <c r="K235" s="134" t="s">
        <v>2986</v>
      </c>
      <c r="L235" s="112">
        <f>_xlfn.XLOOKUP(B235,Summary!B:B,Summary!G:G)</f>
        <v>6</v>
      </c>
      <c r="O235" s="112" t="str">
        <f t="shared" si="5"/>
        <v>-255</v>
      </c>
      <c r="P235" s="112" t="s">
        <v>2067</v>
      </c>
      <c r="Q235" s="112" t="s">
        <v>1065</v>
      </c>
    </row>
    <row r="236" spans="1:20" s="112" customFormat="1" ht="12.75" customHeight="1">
      <c r="A236" s="117"/>
      <c r="C236" s="126"/>
      <c r="O236" s="112" t="str">
        <f t="shared" si="5"/>
        <v>-255</v>
      </c>
    </row>
    <row r="237" spans="1:20" s="112" customFormat="1" ht="12.75" customHeight="1">
      <c r="A237" s="117"/>
      <c r="C237" s="126"/>
      <c r="O237" s="112" t="str">
        <f t="shared" si="5"/>
        <v>-255</v>
      </c>
    </row>
    <row r="238" spans="1:20" s="112" customFormat="1" ht="12.75" customHeight="1">
      <c r="A238" s="117"/>
      <c r="C238" s="126"/>
      <c r="O238" s="112" t="str">
        <f t="shared" si="5"/>
        <v>-255</v>
      </c>
    </row>
    <row r="239" spans="1:20" s="112" customFormat="1" ht="12.75" customHeight="1">
      <c r="A239" s="117"/>
      <c r="C239" s="126"/>
      <c r="O239" s="112" t="str">
        <f t="shared" si="5"/>
        <v>-255</v>
      </c>
    </row>
    <row r="240" spans="1:20" s="112" customFormat="1" ht="12.75" customHeight="1">
      <c r="A240" s="117"/>
      <c r="C240" s="126"/>
      <c r="O240" s="112" t="str">
        <f t="shared" si="5"/>
        <v>-255</v>
      </c>
    </row>
    <row r="241" spans="1:15" s="112" customFormat="1" ht="12.75" customHeight="1">
      <c r="A241" s="117"/>
      <c r="C241" s="126"/>
      <c r="O241" s="112" t="str">
        <f t="shared" si="5"/>
        <v>-255</v>
      </c>
    </row>
    <row r="242" spans="1:15" s="112" customFormat="1" ht="12.75" customHeight="1">
      <c r="A242" s="117"/>
      <c r="C242" s="126"/>
      <c r="O242" s="112" t="str">
        <f t="shared" si="5"/>
        <v>-255</v>
      </c>
    </row>
    <row r="243" spans="1:15" s="112" customFormat="1" ht="12.75" customHeight="1">
      <c r="A243" s="117"/>
      <c r="C243" s="126"/>
      <c r="O243" s="112" t="str">
        <f t="shared" si="5"/>
        <v>-255</v>
      </c>
    </row>
    <row r="244" spans="1:15" s="112" customFormat="1" ht="12.75" customHeight="1">
      <c r="A244" s="117"/>
      <c r="C244" s="126"/>
      <c r="O244" s="112" t="str">
        <f t="shared" si="5"/>
        <v>-255</v>
      </c>
    </row>
    <row r="245" spans="1:15" s="112" customFormat="1" ht="12.75" customHeight="1">
      <c r="A245" s="117"/>
      <c r="C245" s="126"/>
      <c r="O245" s="112" t="str">
        <f t="shared" si="5"/>
        <v>-255</v>
      </c>
    </row>
    <row r="246" spans="1:15" s="112" customFormat="1" ht="12.75" customHeight="1">
      <c r="A246" s="117"/>
      <c r="C246" s="126"/>
      <c r="O246" s="112" t="str">
        <f t="shared" si="5"/>
        <v>-255</v>
      </c>
    </row>
    <row r="247" spans="1:15" s="112" customFormat="1" ht="12.75" customHeight="1">
      <c r="A247" s="117"/>
      <c r="C247" s="126"/>
      <c r="O247" s="112" t="str">
        <f t="shared" si="5"/>
        <v>-255</v>
      </c>
    </row>
    <row r="248" spans="1:15" s="112" customFormat="1" ht="12.75" customHeight="1">
      <c r="A248" s="117"/>
      <c r="C248" s="126"/>
      <c r="O248" s="112" t="str">
        <f t="shared" si="5"/>
        <v>-255</v>
      </c>
    </row>
    <row r="249" spans="1:15" s="112" customFormat="1" ht="12.75" customHeight="1">
      <c r="A249" s="117"/>
      <c r="C249" s="126"/>
      <c r="O249" s="112" t="str">
        <f t="shared" si="5"/>
        <v>-255</v>
      </c>
    </row>
    <row r="250" spans="1:15" s="112" customFormat="1" ht="12.75" customHeight="1">
      <c r="A250" s="117"/>
      <c r="C250" s="126"/>
      <c r="O250" s="112" t="str">
        <f t="shared" si="5"/>
        <v>-255</v>
      </c>
    </row>
    <row r="251" spans="1:15" s="112" customFormat="1" ht="12.75" customHeight="1">
      <c r="A251" s="117"/>
      <c r="C251" s="126"/>
      <c r="O251" s="112" t="str">
        <f t="shared" si="5"/>
        <v>-255</v>
      </c>
    </row>
    <row r="252" spans="1:15" s="112" customFormat="1" ht="12.75" customHeight="1">
      <c r="A252" s="117"/>
      <c r="C252" s="126"/>
      <c r="O252" s="112" t="str">
        <f t="shared" si="5"/>
        <v>-255</v>
      </c>
    </row>
    <row r="253" spans="1:15" s="112" customFormat="1" ht="12.75" customHeight="1">
      <c r="A253" s="117"/>
      <c r="C253" s="126"/>
      <c r="O253" s="112" t="str">
        <f t="shared" si="5"/>
        <v>-255</v>
      </c>
    </row>
    <row r="254" spans="1:15" s="112" customFormat="1" ht="12.75" customHeight="1">
      <c r="A254" s="117"/>
      <c r="C254" s="126"/>
      <c r="O254" s="112" t="str">
        <f t="shared" si="5"/>
        <v>-255</v>
      </c>
    </row>
    <row r="255" spans="1:15" s="112" customFormat="1" ht="12.75" customHeight="1">
      <c r="A255" s="117"/>
      <c r="C255" s="126"/>
      <c r="O255" s="112" t="str">
        <f t="shared" si="5"/>
        <v>-255</v>
      </c>
    </row>
    <row r="256" spans="1:15" s="112" customFormat="1" ht="12.75" customHeight="1">
      <c r="A256" s="117"/>
      <c r="C256" s="126"/>
      <c r="O256" s="112" t="str">
        <f t="shared" si="5"/>
        <v>-255</v>
      </c>
    </row>
    <row r="257" spans="1:15" s="112" customFormat="1" ht="12.75" customHeight="1">
      <c r="A257" s="117"/>
      <c r="C257" s="126"/>
      <c r="O257" s="112" t="str">
        <f t="shared" si="5"/>
        <v>-255</v>
      </c>
    </row>
    <row r="258" spans="1:15" s="112" customFormat="1" ht="12.75" customHeight="1">
      <c r="A258" s="117"/>
      <c r="C258" s="126"/>
      <c r="O258" s="112" t="str">
        <f t="shared" si="5"/>
        <v>-255</v>
      </c>
    </row>
    <row r="259" spans="1:15" s="112" customFormat="1" ht="12.75" customHeight="1">
      <c r="A259" s="117"/>
      <c r="C259" s="126"/>
      <c r="O259" s="112" t="str">
        <f t="shared" si="5"/>
        <v>-255</v>
      </c>
    </row>
    <row r="260" spans="1:15" ht="12.75" customHeight="1">
      <c r="C260" s="126"/>
      <c r="N260" s="112"/>
      <c r="O260" s="112" t="str">
        <f t="shared" si="5"/>
        <v>-255</v>
      </c>
    </row>
    <row r="261" spans="1:15" ht="12.75" customHeight="1">
      <c r="C261" s="126"/>
      <c r="N261" s="112"/>
      <c r="O261" s="112" t="str">
        <f t="shared" si="5"/>
        <v>-255</v>
      </c>
    </row>
    <row r="262" spans="1:15" ht="12.75" customHeight="1">
      <c r="C262" s="126"/>
      <c r="N262" s="112"/>
      <c r="O262" s="112" t="str">
        <f t="shared" si="5"/>
        <v>-255</v>
      </c>
    </row>
    <row r="263" spans="1:15" ht="12.75" customHeight="1">
      <c r="C263" s="126"/>
      <c r="N263" s="112"/>
      <c r="O263" s="112" t="str">
        <f t="shared" si="5"/>
        <v>-255</v>
      </c>
    </row>
    <row r="264" spans="1:15" ht="12.75" customHeight="1">
      <c r="C264" s="126"/>
      <c r="N264" s="112"/>
      <c r="O264" s="112" t="str">
        <f t="shared" si="5"/>
        <v>-255</v>
      </c>
    </row>
    <row r="265" spans="1:15" ht="12.75" customHeight="1">
      <c r="C265" s="126"/>
      <c r="N265" s="112"/>
      <c r="O265" s="112" t="str">
        <f t="shared" si="5"/>
        <v>-255</v>
      </c>
    </row>
    <row r="266" spans="1:15" ht="12.75" customHeight="1">
      <c r="C266" s="126"/>
      <c r="N266" s="112"/>
      <c r="O266" s="112" t="str">
        <f t="shared" si="5"/>
        <v>-255</v>
      </c>
    </row>
    <row r="267" spans="1:15" ht="12.75" customHeight="1">
      <c r="C267" s="126"/>
      <c r="N267" s="112"/>
      <c r="O267" s="112" t="str">
        <f t="shared" si="5"/>
        <v>-255</v>
      </c>
    </row>
    <row r="268" spans="1:15" ht="12.75" customHeight="1">
      <c r="C268" s="126"/>
      <c r="N268" s="112"/>
      <c r="O268" s="112" t="str">
        <f t="shared" si="5"/>
        <v>-255</v>
      </c>
    </row>
    <row r="269" spans="1:15" ht="12.75" customHeight="1">
      <c r="C269" s="126"/>
      <c r="N269" s="112"/>
      <c r="O269" s="112" t="str">
        <f t="shared" si="5"/>
        <v>-255</v>
      </c>
    </row>
    <row r="270" spans="1:15" ht="12.75" customHeight="1">
      <c r="C270" s="126"/>
      <c r="N270" s="112"/>
      <c r="O270" s="112" t="str">
        <f t="shared" si="5"/>
        <v>-255</v>
      </c>
    </row>
    <row r="271" spans="1:15" ht="12.75" customHeight="1">
      <c r="C271" s="126"/>
      <c r="N271" s="112"/>
      <c r="O271" s="112" t="str">
        <f t="shared" si="5"/>
        <v>-255</v>
      </c>
    </row>
    <row r="272" spans="1:15" ht="12.75" customHeight="1">
      <c r="C272" s="126"/>
      <c r="N272" s="112"/>
      <c r="O272" s="112" t="str">
        <f t="shared" si="5"/>
        <v>-255</v>
      </c>
    </row>
    <row r="273" spans="1:15" ht="12.75" customHeight="1">
      <c r="C273" s="126"/>
      <c r="N273" s="112"/>
      <c r="O273" s="112" t="str">
        <f t="shared" si="5"/>
        <v>-255</v>
      </c>
    </row>
    <row r="274" spans="1:15" ht="12.75" customHeight="1">
      <c r="C274" s="126"/>
      <c r="N274" s="112"/>
      <c r="O274" s="112" t="str">
        <f t="shared" si="5"/>
        <v>-255</v>
      </c>
    </row>
    <row r="275" spans="1:15" ht="12.75" customHeight="1">
      <c r="C275" s="126"/>
      <c r="N275" s="112"/>
      <c r="O275" s="112" t="str">
        <f t="shared" si="5"/>
        <v>-255</v>
      </c>
    </row>
    <row r="276" spans="1:15" s="112" customFormat="1" ht="12.75" customHeight="1">
      <c r="A276" s="117"/>
      <c r="C276" s="126"/>
      <c r="O276" s="112" t="str">
        <f t="shared" si="5"/>
        <v>-255</v>
      </c>
    </row>
    <row r="277" spans="1:15" s="112" customFormat="1" ht="12.75" customHeight="1">
      <c r="A277" s="117"/>
      <c r="C277" s="126"/>
      <c r="O277" s="112" t="str">
        <f t="shared" si="5"/>
        <v>-255</v>
      </c>
    </row>
    <row r="278" spans="1:15" s="112" customFormat="1" ht="12.75" customHeight="1">
      <c r="A278" s="117"/>
      <c r="C278" s="126"/>
      <c r="O278" s="112" t="str">
        <f t="shared" si="5"/>
        <v>-255</v>
      </c>
    </row>
    <row r="279" spans="1:15" s="112" customFormat="1" ht="12.75" customHeight="1">
      <c r="A279" s="117"/>
      <c r="C279" s="126"/>
      <c r="O279" s="112" t="str">
        <f t="shared" si="5"/>
        <v>-255</v>
      </c>
    </row>
    <row r="280" spans="1:15" s="112" customFormat="1" ht="12.75" customHeight="1">
      <c r="A280" s="117"/>
      <c r="C280" s="126"/>
      <c r="O280" s="112" t="str">
        <f t="shared" si="5"/>
        <v>-255</v>
      </c>
    </row>
    <row r="281" spans="1:15" s="112" customFormat="1" ht="12.75" customHeight="1">
      <c r="A281" s="117"/>
      <c r="C281" s="126"/>
      <c r="O281" s="112" t="str">
        <f t="shared" si="5"/>
        <v>-255</v>
      </c>
    </row>
    <row r="282" spans="1:15" s="112" customFormat="1" ht="12.75" customHeight="1">
      <c r="A282" s="117"/>
      <c r="C282" s="126"/>
      <c r="O282" s="112" t="str">
        <f t="shared" si="5"/>
        <v>-255</v>
      </c>
    </row>
    <row r="283" spans="1:15" s="112" customFormat="1" ht="12.75" customHeight="1">
      <c r="A283" s="117"/>
      <c r="C283" s="126"/>
      <c r="O283" s="112" t="str">
        <f t="shared" si="5"/>
        <v>-255</v>
      </c>
    </row>
    <row r="284" spans="1:15" s="112" customFormat="1" ht="12.75" customHeight="1">
      <c r="A284" s="117"/>
      <c r="C284" s="126"/>
      <c r="O284" s="112" t="str">
        <f t="shared" si="5"/>
        <v>-255</v>
      </c>
    </row>
    <row r="285" spans="1:15" s="112" customFormat="1" ht="12.75" customHeight="1">
      <c r="A285" s="117"/>
      <c r="C285" s="126"/>
      <c r="O285" s="112" t="str">
        <f t="shared" si="5"/>
        <v>-255</v>
      </c>
    </row>
    <row r="286" spans="1:15" s="112" customFormat="1" ht="12.75" customHeight="1">
      <c r="A286" s="117"/>
      <c r="C286" s="126"/>
      <c r="O286" s="112" t="str">
        <f t="shared" si="5"/>
        <v>-255</v>
      </c>
    </row>
    <row r="287" spans="1:15" s="112" customFormat="1" ht="12.75" customHeight="1">
      <c r="A287" s="117"/>
      <c r="C287" s="126"/>
      <c r="O287" s="112" t="str">
        <f t="shared" ref="O287:O350" si="6">N287&amp;"-255"</f>
        <v>-255</v>
      </c>
    </row>
    <row r="288" spans="1:15" s="112" customFormat="1" ht="12.75" customHeight="1">
      <c r="A288" s="117"/>
      <c r="C288" s="126"/>
      <c r="O288" s="112" t="str">
        <f t="shared" si="6"/>
        <v>-255</v>
      </c>
    </row>
    <row r="289" spans="1:15" s="112" customFormat="1" ht="12.75" customHeight="1">
      <c r="A289" s="117"/>
      <c r="C289" s="126"/>
      <c r="O289" s="112" t="str">
        <f t="shared" si="6"/>
        <v>-255</v>
      </c>
    </row>
    <row r="290" spans="1:15" s="112" customFormat="1" ht="12.75" customHeight="1">
      <c r="A290" s="117"/>
      <c r="C290" s="126"/>
      <c r="O290" s="112" t="str">
        <f t="shared" si="6"/>
        <v>-255</v>
      </c>
    </row>
    <row r="291" spans="1:15" s="112" customFormat="1" ht="12.75" customHeight="1">
      <c r="A291" s="117"/>
      <c r="C291" s="126"/>
      <c r="O291" s="112" t="str">
        <f t="shared" si="6"/>
        <v>-255</v>
      </c>
    </row>
    <row r="292" spans="1:15" ht="12.75" customHeight="1">
      <c r="C292" s="126"/>
      <c r="N292" s="112"/>
      <c r="O292" s="112" t="str">
        <f t="shared" si="6"/>
        <v>-255</v>
      </c>
    </row>
    <row r="293" spans="1:15" ht="12.75" customHeight="1">
      <c r="C293" s="126"/>
      <c r="N293" s="112"/>
      <c r="O293" s="112" t="str">
        <f t="shared" si="6"/>
        <v>-255</v>
      </c>
    </row>
    <row r="294" spans="1:15" ht="12.75" customHeight="1">
      <c r="C294" s="126"/>
      <c r="N294" s="112"/>
      <c r="O294" s="112" t="str">
        <f t="shared" si="6"/>
        <v>-255</v>
      </c>
    </row>
    <row r="295" spans="1:15" ht="12.75" customHeight="1">
      <c r="C295" s="126"/>
      <c r="N295" s="112"/>
      <c r="O295" s="112" t="str">
        <f t="shared" si="6"/>
        <v>-255</v>
      </c>
    </row>
    <row r="296" spans="1:15" ht="12.75" customHeight="1">
      <c r="C296" s="126"/>
      <c r="N296" s="112"/>
      <c r="O296" s="112" t="str">
        <f t="shared" si="6"/>
        <v>-255</v>
      </c>
    </row>
    <row r="297" spans="1:15" ht="12.75" customHeight="1">
      <c r="C297" s="126"/>
      <c r="N297" s="112"/>
      <c r="O297" s="112" t="str">
        <f t="shared" si="6"/>
        <v>-255</v>
      </c>
    </row>
    <row r="298" spans="1:15" ht="12.75" customHeight="1">
      <c r="C298" s="126"/>
      <c r="N298" s="112"/>
      <c r="O298" s="112" t="str">
        <f t="shared" si="6"/>
        <v>-255</v>
      </c>
    </row>
    <row r="299" spans="1:15" ht="12.75" customHeight="1">
      <c r="C299" s="126"/>
      <c r="N299" s="112"/>
      <c r="O299" s="112" t="str">
        <f t="shared" si="6"/>
        <v>-255</v>
      </c>
    </row>
    <row r="300" spans="1:15" ht="12.75" customHeight="1">
      <c r="C300" s="126"/>
      <c r="N300" s="112"/>
      <c r="O300" s="112" t="str">
        <f t="shared" si="6"/>
        <v>-255</v>
      </c>
    </row>
    <row r="301" spans="1:15" ht="12.75" customHeight="1">
      <c r="C301" s="126"/>
      <c r="N301" s="112"/>
      <c r="O301" s="112" t="str">
        <f t="shared" si="6"/>
        <v>-255</v>
      </c>
    </row>
    <row r="302" spans="1:15" ht="12.75" customHeight="1">
      <c r="C302" s="126"/>
      <c r="N302" s="112"/>
      <c r="O302" s="112" t="str">
        <f t="shared" si="6"/>
        <v>-255</v>
      </c>
    </row>
    <row r="303" spans="1:15" ht="12.75" customHeight="1">
      <c r="C303" s="126"/>
      <c r="N303" s="112"/>
      <c r="O303" s="112" t="str">
        <f t="shared" si="6"/>
        <v>-255</v>
      </c>
    </row>
    <row r="304" spans="1:15" ht="12.75" customHeight="1">
      <c r="C304" s="126"/>
      <c r="N304" s="112"/>
      <c r="O304" s="112" t="str">
        <f t="shared" si="6"/>
        <v>-255</v>
      </c>
    </row>
    <row r="305" spans="1:15" ht="12.75" customHeight="1">
      <c r="C305" s="126"/>
      <c r="N305" s="112"/>
      <c r="O305" s="112" t="str">
        <f t="shared" si="6"/>
        <v>-255</v>
      </c>
    </row>
    <row r="306" spans="1:15" ht="12.75" customHeight="1">
      <c r="C306" s="126"/>
      <c r="N306" s="112"/>
      <c r="O306" s="112" t="str">
        <f t="shared" si="6"/>
        <v>-255</v>
      </c>
    </row>
    <row r="307" spans="1:15" ht="12.75" customHeight="1">
      <c r="C307" s="126"/>
      <c r="N307" s="112"/>
      <c r="O307" s="112" t="str">
        <f t="shared" si="6"/>
        <v>-255</v>
      </c>
    </row>
    <row r="308" spans="1:15" s="112" customFormat="1" ht="12.75" customHeight="1">
      <c r="A308" s="117"/>
      <c r="C308" s="126"/>
      <c r="O308" s="112" t="str">
        <f t="shared" si="6"/>
        <v>-255</v>
      </c>
    </row>
    <row r="309" spans="1:15" s="112" customFormat="1" ht="12.75" customHeight="1">
      <c r="A309" s="117"/>
      <c r="C309" s="126"/>
      <c r="O309" s="112" t="str">
        <f t="shared" si="6"/>
        <v>-255</v>
      </c>
    </row>
    <row r="310" spans="1:15" s="112" customFormat="1" ht="12.75" customHeight="1">
      <c r="A310" s="117"/>
      <c r="C310" s="126"/>
      <c r="O310" s="112" t="str">
        <f t="shared" si="6"/>
        <v>-255</v>
      </c>
    </row>
    <row r="311" spans="1:15" s="112" customFormat="1" ht="12.75" customHeight="1">
      <c r="A311" s="117"/>
      <c r="C311" s="126"/>
      <c r="O311" s="112" t="str">
        <f t="shared" si="6"/>
        <v>-255</v>
      </c>
    </row>
    <row r="312" spans="1:15" s="112" customFormat="1" ht="12.75" customHeight="1">
      <c r="A312" s="117"/>
      <c r="C312" s="126"/>
      <c r="O312" s="112" t="str">
        <f t="shared" si="6"/>
        <v>-255</v>
      </c>
    </row>
    <row r="313" spans="1:15" s="112" customFormat="1" ht="12.75" customHeight="1">
      <c r="A313" s="117"/>
      <c r="C313" s="126"/>
      <c r="O313" s="112" t="str">
        <f t="shared" si="6"/>
        <v>-255</v>
      </c>
    </row>
    <row r="314" spans="1:15" s="112" customFormat="1" ht="12.75" customHeight="1">
      <c r="A314" s="117"/>
      <c r="C314" s="126"/>
      <c r="O314" s="112" t="str">
        <f t="shared" si="6"/>
        <v>-255</v>
      </c>
    </row>
    <row r="315" spans="1:15" s="112" customFormat="1" ht="12.75" customHeight="1">
      <c r="A315" s="117"/>
      <c r="C315" s="126"/>
      <c r="O315" s="112" t="str">
        <f t="shared" si="6"/>
        <v>-255</v>
      </c>
    </row>
    <row r="316" spans="1:15" s="112" customFormat="1" ht="12.75" customHeight="1">
      <c r="A316" s="117"/>
      <c r="C316" s="126"/>
      <c r="O316" s="112" t="str">
        <f t="shared" si="6"/>
        <v>-255</v>
      </c>
    </row>
    <row r="317" spans="1:15" s="112" customFormat="1" ht="12.75" customHeight="1">
      <c r="A317" s="117"/>
      <c r="C317" s="126"/>
      <c r="O317" s="112" t="str">
        <f t="shared" si="6"/>
        <v>-255</v>
      </c>
    </row>
    <row r="318" spans="1:15" s="112" customFormat="1" ht="12.75" customHeight="1">
      <c r="A318" s="117"/>
      <c r="C318" s="126"/>
      <c r="O318" s="112" t="str">
        <f t="shared" si="6"/>
        <v>-255</v>
      </c>
    </row>
    <row r="319" spans="1:15" s="112" customFormat="1" ht="12.75" customHeight="1">
      <c r="A319" s="117"/>
      <c r="C319" s="126"/>
      <c r="O319" s="112" t="str">
        <f t="shared" si="6"/>
        <v>-255</v>
      </c>
    </row>
    <row r="320" spans="1:15" s="112" customFormat="1" ht="12.75" customHeight="1">
      <c r="A320" s="117"/>
      <c r="C320" s="126"/>
      <c r="O320" s="112" t="str">
        <f t="shared" si="6"/>
        <v>-255</v>
      </c>
    </row>
    <row r="321" spans="1:15" s="112" customFormat="1" ht="12.75" customHeight="1">
      <c r="A321" s="117"/>
      <c r="C321" s="126"/>
      <c r="O321" s="112" t="str">
        <f t="shared" si="6"/>
        <v>-255</v>
      </c>
    </row>
    <row r="322" spans="1:15" s="112" customFormat="1" ht="12.75" customHeight="1">
      <c r="A322" s="117"/>
      <c r="C322" s="126"/>
      <c r="O322" s="112" t="str">
        <f t="shared" si="6"/>
        <v>-255</v>
      </c>
    </row>
    <row r="323" spans="1:15" s="112" customFormat="1" ht="12.75" customHeight="1">
      <c r="A323" s="117"/>
      <c r="C323" s="126"/>
      <c r="O323" s="112" t="str">
        <f t="shared" si="6"/>
        <v>-255</v>
      </c>
    </row>
    <row r="324" spans="1:15" s="112" customFormat="1" ht="12.75" customHeight="1">
      <c r="A324" s="117"/>
      <c r="C324" s="126"/>
      <c r="O324" s="112" t="str">
        <f t="shared" si="6"/>
        <v>-255</v>
      </c>
    </row>
    <row r="325" spans="1:15" s="112" customFormat="1" ht="12.75" customHeight="1">
      <c r="A325" s="117"/>
      <c r="C325" s="126"/>
      <c r="O325" s="112" t="str">
        <f t="shared" si="6"/>
        <v>-255</v>
      </c>
    </row>
    <row r="326" spans="1:15" s="112" customFormat="1" ht="12.75" customHeight="1">
      <c r="A326" s="117"/>
      <c r="C326" s="126"/>
      <c r="O326" s="112" t="str">
        <f t="shared" si="6"/>
        <v>-255</v>
      </c>
    </row>
    <row r="327" spans="1:15" s="112" customFormat="1" ht="12.75" customHeight="1">
      <c r="A327" s="117"/>
      <c r="C327" s="126"/>
      <c r="O327" s="112" t="str">
        <f t="shared" si="6"/>
        <v>-255</v>
      </c>
    </row>
    <row r="328" spans="1:15" s="112" customFormat="1" ht="12.75" customHeight="1">
      <c r="A328" s="117"/>
      <c r="C328" s="126"/>
      <c r="O328" s="112" t="str">
        <f t="shared" si="6"/>
        <v>-255</v>
      </c>
    </row>
    <row r="329" spans="1:15" s="112" customFormat="1" ht="12.75" customHeight="1">
      <c r="A329" s="117"/>
      <c r="C329" s="126"/>
      <c r="O329" s="112" t="str">
        <f t="shared" si="6"/>
        <v>-255</v>
      </c>
    </row>
    <row r="330" spans="1:15" s="112" customFormat="1" ht="12.75" customHeight="1">
      <c r="A330" s="117"/>
      <c r="C330" s="126"/>
      <c r="O330" s="112" t="str">
        <f t="shared" si="6"/>
        <v>-255</v>
      </c>
    </row>
    <row r="331" spans="1:15" s="112" customFormat="1" ht="12.75" customHeight="1">
      <c r="A331" s="117"/>
      <c r="C331" s="126"/>
      <c r="O331" s="112" t="str">
        <f t="shared" si="6"/>
        <v>-255</v>
      </c>
    </row>
    <row r="332" spans="1:15" s="112" customFormat="1" ht="12.75" customHeight="1">
      <c r="A332" s="117"/>
      <c r="C332" s="126"/>
      <c r="O332" s="112" t="str">
        <f t="shared" si="6"/>
        <v>-255</v>
      </c>
    </row>
    <row r="333" spans="1:15" s="112" customFormat="1" ht="12.75" customHeight="1">
      <c r="A333" s="117"/>
      <c r="C333" s="126"/>
      <c r="O333" s="112" t="str">
        <f t="shared" si="6"/>
        <v>-255</v>
      </c>
    </row>
    <row r="334" spans="1:15" s="112" customFormat="1" ht="12.75" customHeight="1">
      <c r="A334" s="117"/>
      <c r="C334" s="126"/>
      <c r="O334" s="112" t="str">
        <f t="shared" si="6"/>
        <v>-255</v>
      </c>
    </row>
    <row r="335" spans="1:15" s="112" customFormat="1" ht="12.75" customHeight="1">
      <c r="A335" s="117"/>
      <c r="C335" s="126"/>
      <c r="O335" s="112" t="str">
        <f t="shared" si="6"/>
        <v>-255</v>
      </c>
    </row>
    <row r="336" spans="1:15" s="112" customFormat="1" ht="12.75" customHeight="1">
      <c r="A336" s="117"/>
      <c r="C336" s="126"/>
      <c r="O336" s="112" t="str">
        <f t="shared" si="6"/>
        <v>-255</v>
      </c>
    </row>
    <row r="337" spans="1:15" s="112" customFormat="1" ht="12.75" customHeight="1">
      <c r="A337" s="117"/>
      <c r="C337" s="126"/>
      <c r="O337" s="112" t="str">
        <f t="shared" si="6"/>
        <v>-255</v>
      </c>
    </row>
    <row r="338" spans="1:15" s="112" customFormat="1" ht="12.75" customHeight="1">
      <c r="A338" s="117"/>
      <c r="C338" s="126"/>
      <c r="O338" s="112" t="str">
        <f t="shared" si="6"/>
        <v>-255</v>
      </c>
    </row>
    <row r="339" spans="1:15" s="112" customFormat="1" ht="12.75" customHeight="1">
      <c r="A339" s="117"/>
      <c r="C339" s="126"/>
      <c r="O339" s="112" t="str">
        <f t="shared" si="6"/>
        <v>-255</v>
      </c>
    </row>
    <row r="340" spans="1:15" ht="12.75" customHeight="1">
      <c r="C340" s="126"/>
      <c r="N340" s="112"/>
      <c r="O340" s="112" t="str">
        <f t="shared" si="6"/>
        <v>-255</v>
      </c>
    </row>
    <row r="341" spans="1:15" ht="12.75" customHeight="1">
      <c r="C341" s="126"/>
      <c r="N341" s="112"/>
      <c r="O341" s="112" t="str">
        <f t="shared" si="6"/>
        <v>-255</v>
      </c>
    </row>
    <row r="342" spans="1:15" ht="12.75" customHeight="1">
      <c r="C342" s="126"/>
      <c r="N342" s="112"/>
      <c r="O342" s="112" t="str">
        <f t="shared" si="6"/>
        <v>-255</v>
      </c>
    </row>
    <row r="343" spans="1:15" ht="12.75" customHeight="1">
      <c r="C343" s="126"/>
      <c r="N343" s="112"/>
      <c r="O343" s="112" t="str">
        <f t="shared" si="6"/>
        <v>-255</v>
      </c>
    </row>
    <row r="344" spans="1:15" ht="12.75" customHeight="1">
      <c r="C344" s="126"/>
      <c r="N344" s="112"/>
      <c r="O344" s="112" t="str">
        <f t="shared" si="6"/>
        <v>-255</v>
      </c>
    </row>
    <row r="345" spans="1:15" ht="12.75" customHeight="1">
      <c r="C345" s="126"/>
      <c r="N345" s="112"/>
      <c r="O345" s="112" t="str">
        <f t="shared" si="6"/>
        <v>-255</v>
      </c>
    </row>
    <row r="346" spans="1:15" ht="12.75" customHeight="1">
      <c r="C346" s="126"/>
      <c r="N346" s="112"/>
      <c r="O346" s="112" t="str">
        <f t="shared" si="6"/>
        <v>-255</v>
      </c>
    </row>
    <row r="347" spans="1:15" ht="12.75" customHeight="1">
      <c r="C347" s="126"/>
      <c r="N347" s="112"/>
      <c r="O347" s="112" t="str">
        <f t="shared" si="6"/>
        <v>-255</v>
      </c>
    </row>
    <row r="348" spans="1:15" ht="12.75" customHeight="1">
      <c r="C348" s="126"/>
      <c r="N348" s="112"/>
      <c r="O348" s="112" t="str">
        <f t="shared" si="6"/>
        <v>-255</v>
      </c>
    </row>
    <row r="349" spans="1:15" ht="12.75" customHeight="1">
      <c r="C349" s="126"/>
      <c r="N349" s="112"/>
      <c r="O349" s="112" t="str">
        <f t="shared" si="6"/>
        <v>-255</v>
      </c>
    </row>
    <row r="350" spans="1:15" ht="12.75" customHeight="1">
      <c r="C350" s="126"/>
      <c r="N350" s="112"/>
      <c r="O350" s="112" t="str">
        <f t="shared" si="6"/>
        <v>-255</v>
      </c>
    </row>
    <row r="351" spans="1:15" ht="12.75" customHeight="1">
      <c r="C351" s="126"/>
      <c r="N351" s="112"/>
      <c r="O351" s="112" t="str">
        <f t="shared" ref="O351:O414" si="7">N351&amp;"-255"</f>
        <v>-255</v>
      </c>
    </row>
    <row r="352" spans="1:15" ht="12.75" customHeight="1">
      <c r="C352" s="126"/>
      <c r="N352" s="112"/>
      <c r="O352" s="112" t="str">
        <f t="shared" si="7"/>
        <v>-255</v>
      </c>
    </row>
    <row r="353" spans="1:15" ht="12.75" customHeight="1">
      <c r="C353" s="126"/>
      <c r="N353" s="112"/>
      <c r="O353" s="112" t="str">
        <f t="shared" si="7"/>
        <v>-255</v>
      </c>
    </row>
    <row r="354" spans="1:15" ht="12.75" customHeight="1">
      <c r="C354" s="126"/>
      <c r="N354" s="112"/>
      <c r="O354" s="112" t="str">
        <f t="shared" si="7"/>
        <v>-255</v>
      </c>
    </row>
    <row r="355" spans="1:15" ht="12.75" customHeight="1">
      <c r="C355" s="126"/>
      <c r="N355" s="112"/>
      <c r="O355" s="112" t="str">
        <f t="shared" si="7"/>
        <v>-255</v>
      </c>
    </row>
    <row r="356" spans="1:15" ht="12.75" customHeight="1">
      <c r="C356" s="126"/>
      <c r="N356" s="112"/>
      <c r="O356" s="112" t="str">
        <f t="shared" si="7"/>
        <v>-255</v>
      </c>
    </row>
    <row r="357" spans="1:15" ht="12.75" customHeight="1">
      <c r="C357" s="126"/>
      <c r="N357" s="112"/>
      <c r="O357" s="112" t="str">
        <f t="shared" si="7"/>
        <v>-255</v>
      </c>
    </row>
    <row r="358" spans="1:15" ht="12.75" customHeight="1">
      <c r="C358" s="126"/>
      <c r="N358" s="112"/>
      <c r="O358" s="112" t="str">
        <f t="shared" si="7"/>
        <v>-255</v>
      </c>
    </row>
    <row r="359" spans="1:15" ht="12.75" customHeight="1">
      <c r="C359" s="126"/>
      <c r="N359" s="112"/>
      <c r="O359" s="112" t="str">
        <f t="shared" si="7"/>
        <v>-255</v>
      </c>
    </row>
    <row r="360" spans="1:15" ht="12.75" customHeight="1">
      <c r="C360" s="126"/>
      <c r="N360" s="112"/>
      <c r="O360" s="112" t="str">
        <f t="shared" si="7"/>
        <v>-255</v>
      </c>
    </row>
    <row r="361" spans="1:15" ht="12.75" customHeight="1">
      <c r="C361" s="126"/>
      <c r="N361" s="112"/>
      <c r="O361" s="112" t="str">
        <f t="shared" si="7"/>
        <v>-255</v>
      </c>
    </row>
    <row r="362" spans="1:15" ht="12.75" customHeight="1">
      <c r="C362" s="126"/>
      <c r="N362" s="112"/>
      <c r="O362" s="112" t="str">
        <f t="shared" si="7"/>
        <v>-255</v>
      </c>
    </row>
    <row r="363" spans="1:15" ht="12.75" customHeight="1">
      <c r="C363" s="126"/>
      <c r="N363" s="112"/>
      <c r="O363" s="112" t="str">
        <f t="shared" si="7"/>
        <v>-255</v>
      </c>
    </row>
    <row r="364" spans="1:15" ht="12.75" customHeight="1">
      <c r="C364" s="126"/>
      <c r="N364" s="112"/>
      <c r="O364" s="112" t="str">
        <f t="shared" si="7"/>
        <v>-255</v>
      </c>
    </row>
    <row r="365" spans="1:15" ht="12.75" customHeight="1">
      <c r="A365" s="123"/>
      <c r="C365" s="126"/>
      <c r="N365" s="112"/>
      <c r="O365" s="112" t="str">
        <f t="shared" si="7"/>
        <v>-255</v>
      </c>
    </row>
    <row r="366" spans="1:15" ht="12.75" customHeight="1">
      <c r="A366" s="123"/>
      <c r="C366" s="126"/>
      <c r="N366" s="112"/>
      <c r="O366" s="112" t="str">
        <f t="shared" si="7"/>
        <v>-255</v>
      </c>
    </row>
    <row r="367" spans="1:15" ht="12.75" customHeight="1">
      <c r="A367" s="123"/>
      <c r="C367" s="126"/>
      <c r="N367" s="112"/>
      <c r="O367" s="112" t="str">
        <f t="shared" si="7"/>
        <v>-255</v>
      </c>
    </row>
    <row r="368" spans="1:15" ht="12.75" customHeight="1">
      <c r="A368" s="123"/>
      <c r="C368" s="126"/>
      <c r="N368" s="112"/>
      <c r="O368" s="112" t="str">
        <f t="shared" si="7"/>
        <v>-255</v>
      </c>
    </row>
    <row r="369" spans="3:15" ht="12.75" customHeight="1">
      <c r="C369" s="126"/>
      <c r="N369" s="112"/>
      <c r="O369" s="112" t="str">
        <f t="shared" si="7"/>
        <v>-255</v>
      </c>
    </row>
    <row r="370" spans="3:15" ht="12.75" customHeight="1">
      <c r="C370" s="126"/>
      <c r="N370" s="112"/>
      <c r="O370" s="112" t="str">
        <f t="shared" si="7"/>
        <v>-255</v>
      </c>
    </row>
    <row r="371" spans="3:15" ht="12.75" customHeight="1">
      <c r="C371" s="126"/>
      <c r="N371" s="112"/>
      <c r="O371" s="112" t="str">
        <f t="shared" si="7"/>
        <v>-255</v>
      </c>
    </row>
    <row r="372" spans="3:15" ht="12.75" customHeight="1">
      <c r="C372" s="126"/>
      <c r="N372" s="112"/>
      <c r="O372" s="112" t="str">
        <f t="shared" si="7"/>
        <v>-255</v>
      </c>
    </row>
    <row r="373" spans="3:15" ht="12.75" customHeight="1">
      <c r="C373" s="126"/>
      <c r="N373" s="112"/>
      <c r="O373" s="112" t="str">
        <f t="shared" si="7"/>
        <v>-255</v>
      </c>
    </row>
    <row r="374" spans="3:15" ht="12.75" customHeight="1">
      <c r="C374" s="126"/>
      <c r="N374" s="112"/>
      <c r="O374" s="112" t="str">
        <f t="shared" si="7"/>
        <v>-255</v>
      </c>
    </row>
    <row r="375" spans="3:15" ht="12.75" customHeight="1">
      <c r="C375" s="126"/>
      <c r="N375" s="112"/>
      <c r="O375" s="112" t="str">
        <f t="shared" si="7"/>
        <v>-255</v>
      </c>
    </row>
    <row r="376" spans="3:15" ht="12.75" customHeight="1">
      <c r="C376" s="126"/>
      <c r="N376" s="112"/>
      <c r="O376" s="112" t="str">
        <f t="shared" si="7"/>
        <v>-255</v>
      </c>
    </row>
    <row r="377" spans="3:15" ht="12.75" customHeight="1">
      <c r="C377" s="126"/>
      <c r="N377" s="112"/>
      <c r="O377" s="112" t="str">
        <f t="shared" si="7"/>
        <v>-255</v>
      </c>
    </row>
    <row r="378" spans="3:15" ht="12.75" customHeight="1">
      <c r="C378" s="126"/>
      <c r="N378" s="112"/>
      <c r="O378" s="112" t="str">
        <f t="shared" si="7"/>
        <v>-255</v>
      </c>
    </row>
    <row r="379" spans="3:15" ht="12.75" customHeight="1">
      <c r="C379" s="126"/>
      <c r="N379" s="112"/>
      <c r="O379" s="112" t="str">
        <f t="shared" si="7"/>
        <v>-255</v>
      </c>
    </row>
    <row r="380" spans="3:15" ht="12.75" customHeight="1">
      <c r="C380" s="126"/>
      <c r="N380" s="112"/>
      <c r="O380" s="112" t="str">
        <f t="shared" si="7"/>
        <v>-255</v>
      </c>
    </row>
    <row r="381" spans="3:15" ht="12.75" customHeight="1">
      <c r="C381" s="126"/>
      <c r="N381" s="112"/>
      <c r="O381" s="112" t="str">
        <f t="shared" si="7"/>
        <v>-255</v>
      </c>
    </row>
    <row r="382" spans="3:15" ht="12.75" customHeight="1">
      <c r="C382" s="126"/>
      <c r="N382" s="112"/>
      <c r="O382" s="112" t="str">
        <f t="shared" si="7"/>
        <v>-255</v>
      </c>
    </row>
    <row r="383" spans="3:15" ht="12.75" customHeight="1">
      <c r="C383" s="126"/>
      <c r="N383" s="112"/>
      <c r="O383" s="112" t="str">
        <f t="shared" si="7"/>
        <v>-255</v>
      </c>
    </row>
    <row r="384" spans="3:15" ht="12.75" customHeight="1">
      <c r="C384" s="126"/>
      <c r="N384" s="112"/>
      <c r="O384" s="112" t="str">
        <f t="shared" si="7"/>
        <v>-255</v>
      </c>
    </row>
    <row r="385" spans="14:15" ht="12.75" customHeight="1">
      <c r="N385" s="112"/>
      <c r="O385" s="112" t="str">
        <f t="shared" si="7"/>
        <v>-255</v>
      </c>
    </row>
    <row r="386" spans="14:15" ht="12.75" customHeight="1">
      <c r="N386" s="112"/>
      <c r="O386" s="112" t="str">
        <f t="shared" si="7"/>
        <v>-255</v>
      </c>
    </row>
    <row r="387" spans="14:15" ht="12.75" customHeight="1">
      <c r="N387" s="112"/>
      <c r="O387" s="112" t="str">
        <f t="shared" si="7"/>
        <v>-255</v>
      </c>
    </row>
    <row r="388" spans="14:15" ht="12.75" customHeight="1">
      <c r="N388" s="112"/>
      <c r="O388" s="112" t="str">
        <f t="shared" si="7"/>
        <v>-255</v>
      </c>
    </row>
    <row r="389" spans="14:15" ht="12.75" customHeight="1">
      <c r="N389" s="112"/>
      <c r="O389" s="112" t="str">
        <f t="shared" si="7"/>
        <v>-255</v>
      </c>
    </row>
    <row r="390" spans="14:15" ht="12.75" customHeight="1">
      <c r="N390" s="112"/>
      <c r="O390" s="112" t="str">
        <f t="shared" si="7"/>
        <v>-255</v>
      </c>
    </row>
    <row r="391" spans="14:15" ht="12.75" customHeight="1">
      <c r="N391" s="112"/>
      <c r="O391" s="112" t="str">
        <f t="shared" si="7"/>
        <v>-255</v>
      </c>
    </row>
    <row r="392" spans="14:15" ht="12.75" customHeight="1">
      <c r="N392" s="112"/>
      <c r="O392" s="112" t="str">
        <f t="shared" si="7"/>
        <v>-255</v>
      </c>
    </row>
    <row r="393" spans="14:15" ht="12.75" customHeight="1">
      <c r="N393" s="112"/>
      <c r="O393" s="112" t="str">
        <f t="shared" si="7"/>
        <v>-255</v>
      </c>
    </row>
    <row r="394" spans="14:15" ht="12.75" customHeight="1">
      <c r="N394" s="112"/>
      <c r="O394" s="112" t="str">
        <f t="shared" si="7"/>
        <v>-255</v>
      </c>
    </row>
    <row r="395" spans="14:15" ht="12.75" customHeight="1">
      <c r="N395" s="112"/>
      <c r="O395" s="112" t="str">
        <f t="shared" si="7"/>
        <v>-255</v>
      </c>
    </row>
    <row r="396" spans="14:15" ht="12.75" customHeight="1">
      <c r="N396" s="112"/>
      <c r="O396" s="112" t="str">
        <f t="shared" si="7"/>
        <v>-255</v>
      </c>
    </row>
    <row r="397" spans="14:15" ht="12.75" customHeight="1">
      <c r="N397" s="112"/>
      <c r="O397" s="112" t="str">
        <f t="shared" si="7"/>
        <v>-255</v>
      </c>
    </row>
    <row r="398" spans="14:15" ht="12.75" customHeight="1">
      <c r="N398" s="112"/>
      <c r="O398" s="112" t="str">
        <f t="shared" si="7"/>
        <v>-255</v>
      </c>
    </row>
    <row r="399" spans="14:15" ht="12.75" customHeight="1">
      <c r="N399" s="112"/>
      <c r="O399" s="112" t="str">
        <f t="shared" si="7"/>
        <v>-255</v>
      </c>
    </row>
    <row r="400" spans="14:15" ht="12.75" customHeight="1">
      <c r="N400" s="112"/>
      <c r="O400" s="112" t="str">
        <f t="shared" si="7"/>
        <v>-255</v>
      </c>
    </row>
    <row r="401" spans="1:15" ht="12.75" customHeight="1">
      <c r="C401" s="126"/>
      <c r="N401" s="112"/>
      <c r="O401" s="112" t="str">
        <f t="shared" si="7"/>
        <v>-255</v>
      </c>
    </row>
    <row r="402" spans="1:15" ht="12.75" customHeight="1">
      <c r="C402" s="126"/>
      <c r="N402" s="112"/>
      <c r="O402" s="112" t="str">
        <f t="shared" si="7"/>
        <v>-255</v>
      </c>
    </row>
    <row r="403" spans="1:15" ht="12.75" customHeight="1">
      <c r="C403" s="126"/>
      <c r="N403" s="112"/>
      <c r="O403" s="112" t="str">
        <f t="shared" si="7"/>
        <v>-255</v>
      </c>
    </row>
    <row r="404" spans="1:15" s="112" customFormat="1" ht="12.75" customHeight="1">
      <c r="A404" s="117"/>
      <c r="C404" s="126"/>
      <c r="O404" s="112" t="str">
        <f t="shared" si="7"/>
        <v>-255</v>
      </c>
    </row>
    <row r="405" spans="1:15" s="112" customFormat="1" ht="12.75" customHeight="1">
      <c r="A405" s="117"/>
      <c r="C405" s="126"/>
      <c r="O405" s="112" t="str">
        <f t="shared" si="7"/>
        <v>-255</v>
      </c>
    </row>
    <row r="406" spans="1:15" s="112" customFormat="1" ht="12.75" customHeight="1">
      <c r="A406" s="117"/>
      <c r="C406" s="126"/>
      <c r="O406" s="112" t="str">
        <f t="shared" si="7"/>
        <v>-255</v>
      </c>
    </row>
    <row r="407" spans="1:15" s="112" customFormat="1" ht="12.75" customHeight="1">
      <c r="A407" s="117"/>
      <c r="C407" s="126"/>
      <c r="O407" s="112" t="str">
        <f t="shared" si="7"/>
        <v>-255</v>
      </c>
    </row>
    <row r="408" spans="1:15" s="112" customFormat="1" ht="12.75" customHeight="1">
      <c r="A408" s="117"/>
      <c r="C408" s="126"/>
      <c r="O408" s="112" t="str">
        <f t="shared" si="7"/>
        <v>-255</v>
      </c>
    </row>
    <row r="409" spans="1:15" s="112" customFormat="1" ht="12.75" customHeight="1">
      <c r="A409" s="117"/>
      <c r="C409" s="126"/>
      <c r="O409" s="112" t="str">
        <f t="shared" si="7"/>
        <v>-255</v>
      </c>
    </row>
    <row r="410" spans="1:15" s="112" customFormat="1" ht="12.75" customHeight="1">
      <c r="A410" s="117"/>
      <c r="C410" s="126"/>
      <c r="O410" s="112" t="str">
        <f t="shared" si="7"/>
        <v>-255</v>
      </c>
    </row>
    <row r="411" spans="1:15" s="112" customFormat="1" ht="12.75" customHeight="1">
      <c r="A411" s="117"/>
      <c r="C411" s="126"/>
      <c r="O411" s="112" t="str">
        <f t="shared" si="7"/>
        <v>-255</v>
      </c>
    </row>
    <row r="412" spans="1:15" s="112" customFormat="1" ht="12.75" customHeight="1">
      <c r="A412" s="117"/>
      <c r="C412" s="126"/>
      <c r="O412" s="112" t="str">
        <f t="shared" si="7"/>
        <v>-255</v>
      </c>
    </row>
    <row r="413" spans="1:15" s="112" customFormat="1" ht="12.75" customHeight="1">
      <c r="A413" s="117"/>
      <c r="C413" s="126"/>
      <c r="O413" s="112" t="str">
        <f t="shared" si="7"/>
        <v>-255</v>
      </c>
    </row>
    <row r="414" spans="1:15" s="112" customFormat="1" ht="12.75" customHeight="1">
      <c r="A414" s="117"/>
      <c r="C414" s="126"/>
      <c r="O414" s="112" t="str">
        <f t="shared" si="7"/>
        <v>-255</v>
      </c>
    </row>
    <row r="415" spans="1:15" s="112" customFormat="1" ht="12.75" customHeight="1">
      <c r="A415" s="117"/>
      <c r="C415" s="126"/>
      <c r="O415" s="112" t="str">
        <f t="shared" ref="O415:O425" si="8">N415&amp;"-255"</f>
        <v>-255</v>
      </c>
    </row>
    <row r="416" spans="1:15" s="112" customFormat="1" ht="12.75" customHeight="1">
      <c r="A416" s="117"/>
      <c r="C416" s="126"/>
      <c r="O416" s="112" t="str">
        <f t="shared" si="8"/>
        <v>-255</v>
      </c>
    </row>
    <row r="417" spans="1:15" s="112" customFormat="1" ht="12.75" customHeight="1">
      <c r="A417" s="117"/>
      <c r="C417" s="126"/>
      <c r="O417" s="112" t="str">
        <f t="shared" si="8"/>
        <v>-255</v>
      </c>
    </row>
    <row r="418" spans="1:15" s="112" customFormat="1" ht="12.75" customHeight="1">
      <c r="A418" s="117"/>
      <c r="C418" s="126"/>
      <c r="O418" s="112" t="str">
        <f t="shared" si="8"/>
        <v>-255</v>
      </c>
    </row>
    <row r="419" spans="1:15" s="112" customFormat="1" ht="12.75" customHeight="1">
      <c r="A419" s="117"/>
      <c r="C419" s="126"/>
      <c r="O419" s="112" t="str">
        <f t="shared" si="8"/>
        <v>-255</v>
      </c>
    </row>
    <row r="420" spans="1:15" s="112" customFormat="1" ht="12.75" customHeight="1">
      <c r="A420" s="117"/>
      <c r="C420" s="126"/>
      <c r="O420" s="112" t="str">
        <f t="shared" si="8"/>
        <v>-255</v>
      </c>
    </row>
    <row r="421" spans="1:15" s="112" customFormat="1" ht="12.75" customHeight="1">
      <c r="A421" s="117"/>
      <c r="C421" s="126"/>
      <c r="O421" s="112" t="str">
        <f t="shared" si="8"/>
        <v>-255</v>
      </c>
    </row>
    <row r="422" spans="1:15" s="112" customFormat="1" ht="12.75" customHeight="1">
      <c r="A422" s="117"/>
      <c r="C422" s="126"/>
      <c r="O422" s="112" t="str">
        <f t="shared" si="8"/>
        <v>-255</v>
      </c>
    </row>
    <row r="423" spans="1:15" s="112" customFormat="1" ht="12.75" customHeight="1">
      <c r="A423" s="117"/>
      <c r="C423" s="126"/>
      <c r="O423" s="112" t="str">
        <f t="shared" si="8"/>
        <v>-255</v>
      </c>
    </row>
    <row r="424" spans="1:15" s="112" customFormat="1" ht="12.75" customHeight="1">
      <c r="A424" s="117"/>
      <c r="C424" s="126"/>
      <c r="O424" s="112" t="str">
        <f t="shared" si="8"/>
        <v>-255</v>
      </c>
    </row>
    <row r="425" spans="1:15" s="112" customFormat="1" ht="12.75" customHeight="1">
      <c r="A425" s="117"/>
      <c r="C425" s="126"/>
      <c r="O425" s="112" t="str">
        <f t="shared" si="8"/>
        <v>-255</v>
      </c>
    </row>
    <row r="426" spans="1:15" s="112" customFormat="1" ht="12.75" customHeight="1">
      <c r="A426" s="117"/>
      <c r="C426" s="126"/>
    </row>
    <row r="427" spans="1:15" s="112" customFormat="1" ht="12.75" customHeight="1">
      <c r="A427" s="117"/>
      <c r="C427" s="126"/>
    </row>
    <row r="428" spans="1:15" s="112" customFormat="1" ht="12.75" customHeight="1">
      <c r="A428" s="117"/>
      <c r="C428" s="126"/>
    </row>
    <row r="429" spans="1:15" s="112" customFormat="1" ht="12.75" customHeight="1">
      <c r="A429" s="117"/>
      <c r="C429" s="126"/>
    </row>
    <row r="430" spans="1:15" s="112" customFormat="1" ht="12.75" customHeight="1">
      <c r="A430" s="117"/>
      <c r="C430" s="126"/>
    </row>
    <row r="431" spans="1:15" s="112" customFormat="1" ht="12.75" customHeight="1">
      <c r="A431" s="117"/>
      <c r="C431" s="126"/>
    </row>
    <row r="432" spans="1:15" s="112" customFormat="1" ht="12.75" customHeight="1">
      <c r="A432" s="117"/>
      <c r="C432" s="126"/>
    </row>
    <row r="433" spans="1:3" s="112" customFormat="1" ht="12.75" customHeight="1">
      <c r="A433" s="117"/>
      <c r="C433" s="126"/>
    </row>
    <row r="434" spans="1:3" s="112" customFormat="1" ht="12.75" customHeight="1">
      <c r="A434" s="117"/>
      <c r="C434" s="126"/>
    </row>
    <row r="435" spans="1:3" s="112" customFormat="1" ht="12.75" customHeight="1">
      <c r="A435" s="117"/>
      <c r="C435" s="126"/>
    </row>
    <row r="436" spans="1:3" s="112" customFormat="1" ht="12.75" customHeight="1">
      <c r="A436" s="117"/>
      <c r="C436" s="126"/>
    </row>
    <row r="437" spans="1:3" s="112" customFormat="1" ht="12.75" customHeight="1">
      <c r="A437" s="117"/>
      <c r="C437" s="126"/>
    </row>
    <row r="438" spans="1:3" s="112" customFormat="1" ht="12.75" customHeight="1">
      <c r="A438" s="117"/>
      <c r="C438" s="126"/>
    </row>
    <row r="439" spans="1:3" s="112" customFormat="1" ht="12.75" customHeight="1">
      <c r="A439" s="117"/>
      <c r="C439" s="126"/>
    </row>
    <row r="440" spans="1:3" s="112" customFormat="1" ht="12.75" customHeight="1">
      <c r="A440" s="117"/>
      <c r="C440" s="126"/>
    </row>
    <row r="441" spans="1:3" s="112" customFormat="1" ht="12.75" customHeight="1">
      <c r="A441" s="117"/>
      <c r="C441" s="126"/>
    </row>
    <row r="442" spans="1:3" s="112" customFormat="1" ht="12.75" customHeight="1">
      <c r="A442" s="117"/>
      <c r="C442" s="126"/>
    </row>
    <row r="443" spans="1:3" s="112" customFormat="1" ht="12.75" customHeight="1">
      <c r="A443" s="117"/>
      <c r="C443" s="126"/>
    </row>
    <row r="444" spans="1:3" s="112" customFormat="1" ht="12.75" customHeight="1">
      <c r="A444" s="117"/>
      <c r="C444" s="126"/>
    </row>
    <row r="445" spans="1:3" s="112" customFormat="1" ht="12.75" customHeight="1">
      <c r="A445" s="117"/>
      <c r="C445" s="126"/>
    </row>
    <row r="446" spans="1:3" s="112" customFormat="1" ht="12.75" customHeight="1">
      <c r="A446" s="117"/>
      <c r="C446" s="126"/>
    </row>
    <row r="447" spans="1:3" s="112" customFormat="1" ht="12.75" customHeight="1">
      <c r="A447" s="117"/>
      <c r="C447" s="126"/>
    </row>
    <row r="448" spans="1:3" s="112" customFormat="1" ht="12.75" customHeight="1">
      <c r="A448" s="117"/>
      <c r="C448" s="126"/>
    </row>
    <row r="449" spans="1:3" s="112" customFormat="1" ht="12.75" customHeight="1">
      <c r="A449" s="117"/>
      <c r="C449" s="126"/>
    </row>
    <row r="450" spans="1:3" s="112" customFormat="1" ht="12.75" customHeight="1">
      <c r="A450" s="117"/>
      <c r="C450" s="126"/>
    </row>
    <row r="451" spans="1:3" s="112" customFormat="1" ht="12.75" customHeight="1">
      <c r="A451" s="117"/>
      <c r="C451" s="126"/>
    </row>
    <row r="452" spans="1:3" s="112" customFormat="1" ht="12.75" customHeight="1">
      <c r="A452" s="117"/>
      <c r="C452" s="126"/>
    </row>
    <row r="453" spans="1:3" s="112" customFormat="1" ht="12.75" customHeight="1">
      <c r="A453" s="117"/>
      <c r="C453" s="126"/>
    </row>
    <row r="454" spans="1:3" s="112" customFormat="1" ht="12.75" customHeight="1">
      <c r="A454" s="117"/>
      <c r="C454" s="126"/>
    </row>
    <row r="455" spans="1:3" s="112" customFormat="1" ht="12.75" customHeight="1">
      <c r="A455" s="117"/>
      <c r="C455" s="126"/>
    </row>
    <row r="456" spans="1:3" s="112" customFormat="1" ht="12.75" customHeight="1">
      <c r="A456" s="117"/>
      <c r="C456" s="126"/>
    </row>
    <row r="457" spans="1:3" s="112" customFormat="1" ht="12.75" customHeight="1">
      <c r="A457" s="117"/>
      <c r="C457" s="126"/>
    </row>
    <row r="458" spans="1:3" s="112" customFormat="1" ht="12.75" customHeight="1">
      <c r="A458" s="117"/>
      <c r="C458" s="126"/>
    </row>
    <row r="459" spans="1:3" s="112" customFormat="1" ht="12.75" customHeight="1">
      <c r="A459" s="117"/>
      <c r="C459" s="126"/>
    </row>
    <row r="460" spans="1:3" s="112" customFormat="1" ht="12.75" customHeight="1">
      <c r="A460" s="117"/>
      <c r="C460" s="126"/>
    </row>
    <row r="461" spans="1:3" s="112" customFormat="1" ht="12.75" customHeight="1">
      <c r="A461" s="117"/>
      <c r="C461" s="126"/>
    </row>
    <row r="462" spans="1:3" s="112" customFormat="1" ht="12.75" customHeight="1">
      <c r="A462" s="117"/>
      <c r="C462" s="126"/>
    </row>
    <row r="463" spans="1:3" s="112" customFormat="1" ht="12.75" customHeight="1">
      <c r="A463" s="117"/>
      <c r="C463" s="126"/>
    </row>
    <row r="464" spans="1:3" s="112" customFormat="1" ht="12.75" customHeight="1">
      <c r="A464" s="117"/>
      <c r="C464" s="126"/>
    </row>
    <row r="465" spans="1:3" s="112" customFormat="1" ht="12.75" customHeight="1">
      <c r="A465" s="117"/>
      <c r="C465" s="126"/>
    </row>
    <row r="466" spans="1:3" s="112" customFormat="1" ht="12.75" customHeight="1">
      <c r="A466" s="117"/>
      <c r="C466" s="126"/>
    </row>
    <row r="467" spans="1:3" s="112" customFormat="1" ht="12.75" customHeight="1">
      <c r="A467" s="117"/>
      <c r="C467" s="126"/>
    </row>
    <row r="468" spans="1:3" s="112" customFormat="1" ht="12.75" customHeight="1">
      <c r="A468" s="117"/>
      <c r="C468" s="126"/>
    </row>
    <row r="469" spans="1:3" s="112" customFormat="1" ht="12.75" customHeight="1">
      <c r="A469" s="117"/>
      <c r="C469" s="126"/>
    </row>
    <row r="470" spans="1:3" s="112" customFormat="1" ht="12.75" customHeight="1">
      <c r="A470" s="117"/>
      <c r="C470" s="126"/>
    </row>
    <row r="471" spans="1:3" s="112" customFormat="1" ht="12.75" customHeight="1">
      <c r="A471" s="117"/>
      <c r="C471" s="126"/>
    </row>
    <row r="472" spans="1:3" s="112" customFormat="1" ht="12.75" customHeight="1">
      <c r="A472" s="117"/>
      <c r="C472" s="126"/>
    </row>
    <row r="473" spans="1:3" s="112" customFormat="1" ht="12.75" customHeight="1">
      <c r="A473" s="117"/>
      <c r="C473" s="126"/>
    </row>
    <row r="474" spans="1:3" s="112" customFormat="1" ht="12.75" customHeight="1">
      <c r="A474" s="117"/>
      <c r="C474" s="126"/>
    </row>
    <row r="475" spans="1:3" s="112" customFormat="1" ht="12.75" customHeight="1">
      <c r="A475" s="117"/>
      <c r="C475" s="126"/>
    </row>
    <row r="476" spans="1:3" s="112" customFormat="1" ht="12.75" customHeight="1">
      <c r="A476" s="117"/>
      <c r="C476" s="126"/>
    </row>
    <row r="477" spans="1:3" s="112" customFormat="1" ht="12.75" customHeight="1">
      <c r="A477" s="117"/>
      <c r="C477" s="126"/>
    </row>
    <row r="478" spans="1:3" s="112" customFormat="1" ht="12.75" customHeight="1">
      <c r="A478" s="117"/>
      <c r="C478" s="126"/>
    </row>
    <row r="479" spans="1:3" s="112" customFormat="1" ht="12.75" customHeight="1">
      <c r="A479" s="117"/>
      <c r="C479" s="126"/>
    </row>
    <row r="480" spans="1:3" s="112" customFormat="1" ht="12.75" customHeight="1">
      <c r="A480" s="117"/>
      <c r="C480" s="126"/>
    </row>
    <row r="481" spans="1:3" s="112" customFormat="1" ht="12.75" customHeight="1">
      <c r="A481" s="117"/>
      <c r="C481" s="126"/>
    </row>
    <row r="482" spans="1:3" s="112" customFormat="1" ht="12.75" customHeight="1">
      <c r="A482" s="117"/>
      <c r="C482" s="126"/>
    </row>
    <row r="483" spans="1:3" s="112" customFormat="1" ht="12.75" customHeight="1">
      <c r="A483" s="117"/>
      <c r="C483" s="126"/>
    </row>
    <row r="484" spans="1:3" s="112" customFormat="1" ht="12.75" customHeight="1">
      <c r="A484" s="117"/>
      <c r="C484" s="126"/>
    </row>
    <row r="485" spans="1:3" s="112" customFormat="1" ht="12.75" customHeight="1">
      <c r="A485" s="117"/>
      <c r="C485" s="126"/>
    </row>
    <row r="486" spans="1:3" s="112" customFormat="1" ht="12.75" customHeight="1">
      <c r="A486" s="117"/>
      <c r="C486" s="126"/>
    </row>
    <row r="487" spans="1:3" s="112" customFormat="1" ht="12.75" customHeight="1">
      <c r="A487" s="117"/>
      <c r="C487" s="126"/>
    </row>
    <row r="488" spans="1:3" s="112" customFormat="1" ht="12.75" customHeight="1">
      <c r="A488" s="117"/>
      <c r="C488" s="126"/>
    </row>
    <row r="489" spans="1:3" s="112" customFormat="1" ht="12.75" customHeight="1">
      <c r="A489" s="117"/>
      <c r="C489" s="126"/>
    </row>
    <row r="490" spans="1:3" s="112" customFormat="1" ht="12.75" customHeight="1">
      <c r="A490" s="117"/>
      <c r="C490" s="126"/>
    </row>
    <row r="491" spans="1:3" s="112" customFormat="1" ht="12.75" customHeight="1">
      <c r="A491" s="117"/>
      <c r="C491" s="126"/>
    </row>
    <row r="492" spans="1:3" s="112" customFormat="1" ht="12.75" customHeight="1">
      <c r="A492" s="117"/>
      <c r="C492" s="126"/>
    </row>
    <row r="493" spans="1:3" s="112" customFormat="1" ht="12.75" customHeight="1">
      <c r="A493" s="117"/>
      <c r="C493" s="126"/>
    </row>
    <row r="494" spans="1:3" s="112" customFormat="1" ht="12.75" customHeight="1">
      <c r="A494" s="117"/>
      <c r="C494" s="126"/>
    </row>
    <row r="495" spans="1:3" s="112" customFormat="1" ht="12.75" customHeight="1">
      <c r="A495" s="117"/>
      <c r="C495" s="126"/>
    </row>
    <row r="496" spans="1:3" s="112" customFormat="1" ht="12.75" customHeight="1">
      <c r="A496" s="117"/>
      <c r="C496" s="126"/>
    </row>
    <row r="497" spans="1:3" s="112" customFormat="1" ht="12.75" customHeight="1">
      <c r="A497" s="117"/>
      <c r="C497" s="126"/>
    </row>
    <row r="498" spans="1:3" s="112" customFormat="1" ht="12.75" customHeight="1">
      <c r="A498" s="117"/>
      <c r="C498" s="126"/>
    </row>
    <row r="499" spans="1:3" s="112" customFormat="1" ht="12.75" customHeight="1">
      <c r="A499" s="117"/>
      <c r="C499" s="126"/>
    </row>
    <row r="500" spans="1:3" s="112" customFormat="1" ht="12.75" customHeight="1">
      <c r="A500" s="117"/>
      <c r="C500" s="126"/>
    </row>
    <row r="501" spans="1:3" s="112" customFormat="1" ht="12.75" customHeight="1">
      <c r="A501" s="117"/>
      <c r="C501" s="126"/>
    </row>
    <row r="502" spans="1:3" s="112" customFormat="1" ht="12.75" customHeight="1">
      <c r="A502" s="117"/>
      <c r="C502" s="126"/>
    </row>
    <row r="503" spans="1:3" s="112" customFormat="1" ht="12.75" customHeight="1">
      <c r="A503" s="117"/>
      <c r="C503" s="126"/>
    </row>
    <row r="504" spans="1:3" s="112" customFormat="1" ht="12.75" customHeight="1">
      <c r="A504" s="117"/>
      <c r="C504" s="126"/>
    </row>
    <row r="505" spans="1:3" s="112" customFormat="1" ht="12.75" customHeight="1">
      <c r="A505" s="117"/>
      <c r="C505" s="126"/>
    </row>
    <row r="506" spans="1:3" s="112" customFormat="1" ht="12.75" customHeight="1">
      <c r="A506" s="117"/>
      <c r="C506" s="126"/>
    </row>
    <row r="507" spans="1:3" s="112" customFormat="1" ht="12.75" customHeight="1">
      <c r="A507" s="117"/>
      <c r="C507" s="126"/>
    </row>
    <row r="508" spans="1:3" s="112" customFormat="1" ht="12.75" customHeight="1">
      <c r="A508" s="117"/>
      <c r="C508" s="126"/>
    </row>
    <row r="509" spans="1:3" s="112" customFormat="1" ht="12.75" customHeight="1">
      <c r="A509" s="117"/>
      <c r="C509" s="126"/>
    </row>
    <row r="510" spans="1:3" s="112" customFormat="1" ht="12.75" customHeight="1">
      <c r="A510" s="117"/>
      <c r="C510" s="126"/>
    </row>
    <row r="511" spans="1:3" s="112" customFormat="1" ht="12.75" customHeight="1">
      <c r="A511" s="117"/>
      <c r="C511" s="126"/>
    </row>
    <row r="512" spans="1:3" s="112" customFormat="1" ht="12.75" customHeight="1">
      <c r="A512" s="117"/>
      <c r="C512" s="126"/>
    </row>
    <row r="513" spans="1:3" s="112" customFormat="1" ht="12.75" customHeight="1">
      <c r="A513" s="117"/>
      <c r="C513" s="126"/>
    </row>
    <row r="514" spans="1:3" s="112" customFormat="1" ht="12.75" customHeight="1">
      <c r="A514" s="117"/>
      <c r="C514" s="126"/>
    </row>
    <row r="515" spans="1:3" s="112" customFormat="1" ht="12.75" customHeight="1">
      <c r="A515" s="117"/>
      <c r="C515" s="126"/>
    </row>
  </sheetData>
  <autoFilter ref="A1:T245" xr:uid="{819D222E-DC1F-4D26-932A-07609C691D34}"/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A49C-1720-4199-AAC0-8EFBAA01A2D2}">
  <dimension ref="A1:N171"/>
  <sheetViews>
    <sheetView showGridLines="0" zoomScale="102" workbookViewId="0">
      <pane ySplit="1" topLeftCell="A2" activePane="bottomLeft" state="frozen"/>
      <selection pane="bottomLeft" activeCell="J166" sqref="J166"/>
    </sheetView>
  </sheetViews>
  <sheetFormatPr defaultRowHeight="12.5"/>
  <cols>
    <col min="1" max="1" width="8.453125" style="112" customWidth="1"/>
    <col min="2" max="2" width="13.81640625" style="112" customWidth="1"/>
    <col min="3" max="3" width="13.54296875" style="112" customWidth="1"/>
    <col min="4" max="4" width="12.453125" style="112" customWidth="1"/>
    <col min="5" max="5" width="14.54296875" style="112" customWidth="1"/>
    <col min="6" max="6" width="17.54296875" style="112" bestFit="1" customWidth="1"/>
    <col min="7" max="7" width="17.54296875" style="112" customWidth="1"/>
    <col min="8" max="8" width="12.26953125" style="112" customWidth="1"/>
    <col min="9" max="9" width="13.7265625" style="112" customWidth="1"/>
    <col min="10" max="10" width="13" customWidth="1"/>
    <col min="11" max="11" width="13" style="216" customWidth="1"/>
    <col min="12" max="12" width="12.54296875" style="216" customWidth="1"/>
    <col min="13" max="13" width="10.81640625" style="216" customWidth="1"/>
    <col min="14" max="14" width="24.7265625" customWidth="1"/>
  </cols>
  <sheetData>
    <row r="1" spans="1:14" ht="28.5" customHeight="1">
      <c r="A1" s="182" t="s">
        <v>37</v>
      </c>
      <c r="B1" s="182" t="s">
        <v>2987</v>
      </c>
      <c r="C1" s="182" t="s">
        <v>2988</v>
      </c>
      <c r="D1" s="182" t="s">
        <v>2989</v>
      </c>
      <c r="E1" s="182" t="s">
        <v>2990</v>
      </c>
      <c r="F1" s="182" t="s">
        <v>2991</v>
      </c>
      <c r="G1" s="183" t="s">
        <v>2992</v>
      </c>
      <c r="H1" s="183" t="s">
        <v>2993</v>
      </c>
      <c r="I1" s="183" t="s">
        <v>2994</v>
      </c>
      <c r="J1" s="183" t="s">
        <v>2995</v>
      </c>
      <c r="K1" s="183" t="s">
        <v>2996</v>
      </c>
      <c r="L1" s="183" t="s">
        <v>2997</v>
      </c>
      <c r="M1" s="216" t="s">
        <v>2998</v>
      </c>
      <c r="N1" s="183" t="s">
        <v>43</v>
      </c>
    </row>
    <row r="2" spans="1:14" s="211" customFormat="1" ht="12" customHeight="1">
      <c r="A2" s="212" t="s">
        <v>51</v>
      </c>
      <c r="B2" s="212"/>
      <c r="C2" s="212"/>
      <c r="D2" s="212"/>
      <c r="E2" s="212"/>
      <c r="F2" s="212"/>
      <c r="G2" s="213"/>
      <c r="H2" s="213"/>
      <c r="I2" s="213"/>
      <c r="J2" s="214"/>
      <c r="K2" s="214"/>
      <c r="L2" s="214"/>
      <c r="M2" s="217"/>
    </row>
    <row r="3" spans="1:14">
      <c r="A3" s="184" t="s">
        <v>65</v>
      </c>
      <c r="B3" s="184" t="s">
        <v>2999</v>
      </c>
      <c r="C3" s="184">
        <v>2201121400</v>
      </c>
      <c r="D3" s="185" t="s">
        <v>3000</v>
      </c>
      <c r="E3" s="185" t="s">
        <v>3001</v>
      </c>
      <c r="F3" s="185" t="s">
        <v>3002</v>
      </c>
      <c r="G3" s="185" t="s">
        <v>3003</v>
      </c>
      <c r="H3" s="185" t="s">
        <v>3004</v>
      </c>
      <c r="I3" s="185" t="s">
        <v>3005</v>
      </c>
      <c r="J3" s="210" t="s">
        <v>3006</v>
      </c>
      <c r="K3" s="210" t="s">
        <v>3007</v>
      </c>
      <c r="L3" s="210" t="s">
        <v>3008</v>
      </c>
      <c r="M3" s="216" t="s">
        <v>3009</v>
      </c>
    </row>
    <row r="4" spans="1:14">
      <c r="A4" s="184" t="s">
        <v>71</v>
      </c>
      <c r="B4" s="184" t="s">
        <v>3010</v>
      </c>
      <c r="C4" s="184">
        <v>2201121459</v>
      </c>
      <c r="D4" s="185" t="s">
        <v>3000</v>
      </c>
      <c r="E4" s="184" t="s">
        <v>3011</v>
      </c>
      <c r="F4" s="185" t="s">
        <v>3012</v>
      </c>
      <c r="G4" s="185" t="s">
        <v>3013</v>
      </c>
      <c r="H4" s="185" t="s">
        <v>3004</v>
      </c>
      <c r="I4" s="185" t="s">
        <v>3014</v>
      </c>
      <c r="J4" s="210" t="s">
        <v>3015</v>
      </c>
      <c r="K4" s="210" t="s">
        <v>3007</v>
      </c>
      <c r="L4" s="210" t="s">
        <v>3008</v>
      </c>
      <c r="M4" s="216" t="s">
        <v>3009</v>
      </c>
    </row>
    <row r="5" spans="1:14">
      <c r="A5" s="219" t="s">
        <v>80</v>
      </c>
      <c r="B5" s="219" t="s">
        <v>3016</v>
      </c>
      <c r="C5" s="219">
        <v>2502170489</v>
      </c>
      <c r="D5" s="219" t="s">
        <v>3017</v>
      </c>
      <c r="E5" s="219" t="s">
        <v>3018</v>
      </c>
      <c r="F5" s="219" t="s">
        <v>3019</v>
      </c>
      <c r="G5" s="219" t="s">
        <v>3020</v>
      </c>
      <c r="H5" s="220" t="s">
        <v>3004</v>
      </c>
      <c r="I5" s="219" t="s">
        <v>3021</v>
      </c>
      <c r="J5" s="221" t="s">
        <v>3022</v>
      </c>
      <c r="K5" s="222"/>
      <c r="L5" s="222"/>
      <c r="M5" s="223"/>
      <c r="N5" s="224" t="s">
        <v>3023</v>
      </c>
    </row>
    <row r="6" spans="1:14">
      <c r="A6" s="184" t="s">
        <v>86</v>
      </c>
      <c r="B6" s="185" t="s">
        <v>3024</v>
      </c>
      <c r="C6" s="184">
        <v>2502170311</v>
      </c>
      <c r="D6" s="184" t="s">
        <v>3017</v>
      </c>
      <c r="E6" s="184" t="s">
        <v>3025</v>
      </c>
      <c r="F6" s="184" t="s">
        <v>3026</v>
      </c>
      <c r="G6" s="184" t="s">
        <v>3027</v>
      </c>
      <c r="H6" s="185" t="s">
        <v>3004</v>
      </c>
      <c r="I6" s="184" t="s">
        <v>3028</v>
      </c>
      <c r="J6" s="210" t="s">
        <v>3029</v>
      </c>
      <c r="K6" s="210" t="s">
        <v>3007</v>
      </c>
      <c r="L6" s="210" t="s">
        <v>3008</v>
      </c>
      <c r="M6" s="216" t="s">
        <v>3009</v>
      </c>
    </row>
    <row r="7" spans="1:14">
      <c r="A7" s="184" t="s">
        <v>89</v>
      </c>
      <c r="B7" s="185" t="s">
        <v>3030</v>
      </c>
      <c r="C7" s="184">
        <v>2502170031</v>
      </c>
      <c r="D7" s="184" t="s">
        <v>3017</v>
      </c>
      <c r="E7" s="184" t="s">
        <v>3031</v>
      </c>
      <c r="F7" s="184" t="s">
        <v>3032</v>
      </c>
      <c r="G7" s="184" t="s">
        <v>3033</v>
      </c>
      <c r="H7" s="185" t="s">
        <v>3004</v>
      </c>
      <c r="I7" s="184" t="s">
        <v>3034</v>
      </c>
      <c r="J7" s="210" t="s">
        <v>3035</v>
      </c>
      <c r="K7" s="210" t="s">
        <v>3007</v>
      </c>
      <c r="L7" s="210" t="s">
        <v>3008</v>
      </c>
      <c r="M7" s="216" t="s">
        <v>3009</v>
      </c>
    </row>
    <row r="8" spans="1:14">
      <c r="A8" s="184" t="s">
        <v>95</v>
      </c>
      <c r="B8" s="185" t="s">
        <v>3036</v>
      </c>
      <c r="C8" s="184">
        <v>2310230190</v>
      </c>
      <c r="D8" s="184" t="s">
        <v>3017</v>
      </c>
      <c r="E8" s="184" t="s">
        <v>3037</v>
      </c>
      <c r="F8" s="184" t="s">
        <v>3038</v>
      </c>
      <c r="G8" s="184" t="s">
        <v>3039</v>
      </c>
      <c r="H8" s="185" t="s">
        <v>3004</v>
      </c>
      <c r="I8" s="184" t="s">
        <v>3040</v>
      </c>
      <c r="J8" s="210" t="s">
        <v>3041</v>
      </c>
      <c r="K8" s="210" t="s">
        <v>3007</v>
      </c>
      <c r="L8" s="210" t="s">
        <v>3008</v>
      </c>
      <c r="M8" s="216" t="s">
        <v>3009</v>
      </c>
    </row>
    <row r="9" spans="1:14">
      <c r="A9" s="184" t="s">
        <v>100</v>
      </c>
      <c r="B9" s="185" t="s">
        <v>3042</v>
      </c>
      <c r="C9" s="184">
        <v>2502170309</v>
      </c>
      <c r="D9" s="184" t="s">
        <v>3017</v>
      </c>
      <c r="E9" s="184" t="s">
        <v>3043</v>
      </c>
      <c r="F9" s="184" t="s">
        <v>3044</v>
      </c>
      <c r="G9" s="184" t="s">
        <v>3045</v>
      </c>
      <c r="H9" s="185" t="s">
        <v>3004</v>
      </c>
      <c r="I9" s="184" t="s">
        <v>3046</v>
      </c>
      <c r="J9" s="210" t="s">
        <v>3047</v>
      </c>
      <c r="K9" s="210" t="s">
        <v>3007</v>
      </c>
      <c r="L9" s="210" t="s">
        <v>3008</v>
      </c>
      <c r="M9" s="216" t="s">
        <v>3009</v>
      </c>
    </row>
    <row r="10" spans="1:14">
      <c r="A10" s="219" t="s">
        <v>108</v>
      </c>
      <c r="B10" s="220" t="s">
        <v>3048</v>
      </c>
      <c r="C10" s="219">
        <v>2201121018</v>
      </c>
      <c r="D10" s="220" t="s">
        <v>3000</v>
      </c>
      <c r="E10" s="203" t="s">
        <v>3049</v>
      </c>
      <c r="F10" s="220" t="s">
        <v>3050</v>
      </c>
      <c r="G10" s="220" t="s">
        <v>3051</v>
      </c>
      <c r="H10" s="220" t="s">
        <v>3004</v>
      </c>
      <c r="I10" s="220" t="s">
        <v>3052</v>
      </c>
      <c r="J10" s="221" t="s">
        <v>3053</v>
      </c>
      <c r="K10" s="222"/>
      <c r="L10" s="222"/>
      <c r="M10" s="223"/>
      <c r="N10" s="224" t="s">
        <v>3023</v>
      </c>
    </row>
    <row r="11" spans="1:14">
      <c r="A11" s="225" t="s">
        <v>116</v>
      </c>
      <c r="B11" s="226" t="s">
        <v>3054</v>
      </c>
      <c r="C11" s="225">
        <v>2201121466</v>
      </c>
      <c r="D11" s="226" t="s">
        <v>3000</v>
      </c>
      <c r="E11" s="225" t="s">
        <v>3055</v>
      </c>
      <c r="F11" s="226" t="s">
        <v>3056</v>
      </c>
      <c r="G11" s="226" t="s">
        <v>3057</v>
      </c>
      <c r="H11" s="226" t="s">
        <v>3004</v>
      </c>
      <c r="I11" s="226" t="s">
        <v>3058</v>
      </c>
      <c r="J11" s="227" t="s">
        <v>3059</v>
      </c>
      <c r="K11" s="228" t="s">
        <v>3007</v>
      </c>
      <c r="L11" s="228" t="s">
        <v>3008</v>
      </c>
      <c r="M11" s="229" t="s">
        <v>3060</v>
      </c>
      <c r="N11" s="230" t="s">
        <v>3061</v>
      </c>
    </row>
    <row r="12" spans="1:14" s="242" customFormat="1">
      <c r="A12" s="243" t="s">
        <v>121</v>
      </c>
      <c r="B12" s="244" t="s">
        <v>3062</v>
      </c>
      <c r="C12" s="243">
        <v>2502170499</v>
      </c>
      <c r="D12" s="243" t="s">
        <v>3017</v>
      </c>
      <c r="E12" s="243" t="s">
        <v>3063</v>
      </c>
      <c r="F12" s="243" t="s">
        <v>3064</v>
      </c>
      <c r="G12" s="243" t="s">
        <v>3065</v>
      </c>
      <c r="H12" s="244" t="s">
        <v>3004</v>
      </c>
      <c r="I12" s="243" t="s">
        <v>3066</v>
      </c>
      <c r="J12" s="245" t="s">
        <v>3067</v>
      </c>
      <c r="K12" s="246" t="s">
        <v>3007</v>
      </c>
      <c r="L12" s="246" t="s">
        <v>3008</v>
      </c>
      <c r="M12" s="247" t="s">
        <v>3009</v>
      </c>
      <c r="N12" s="248"/>
    </row>
    <row r="13" spans="1:14">
      <c r="A13" s="184" t="s">
        <v>124</v>
      </c>
      <c r="B13" s="185" t="s">
        <v>3068</v>
      </c>
      <c r="C13" s="184">
        <v>2502170192</v>
      </c>
      <c r="D13" s="184" t="s">
        <v>3017</v>
      </c>
      <c r="E13" s="184" t="s">
        <v>3069</v>
      </c>
      <c r="F13" s="184" t="s">
        <v>3070</v>
      </c>
      <c r="G13" s="184" t="s">
        <v>3071</v>
      </c>
      <c r="H13" s="185" t="s">
        <v>3004</v>
      </c>
      <c r="I13" s="184" t="s">
        <v>3072</v>
      </c>
      <c r="J13" s="210" t="s">
        <v>3073</v>
      </c>
      <c r="K13" s="215" t="s">
        <v>3007</v>
      </c>
      <c r="L13" s="215" t="s">
        <v>3008</v>
      </c>
      <c r="M13" s="216" t="s">
        <v>3009</v>
      </c>
    </row>
    <row r="14" spans="1:14">
      <c r="A14" s="184" t="s">
        <v>127</v>
      </c>
      <c r="B14" s="185" t="s">
        <v>3074</v>
      </c>
      <c r="C14" s="184">
        <v>2502170194</v>
      </c>
      <c r="D14" s="184" t="s">
        <v>3017</v>
      </c>
      <c r="E14" s="184" t="s">
        <v>3075</v>
      </c>
      <c r="F14" s="184" t="s">
        <v>3076</v>
      </c>
      <c r="G14" s="184" t="s">
        <v>3077</v>
      </c>
      <c r="H14" s="185" t="s">
        <v>3004</v>
      </c>
      <c r="I14" s="184" t="s">
        <v>3078</v>
      </c>
      <c r="J14" s="210" t="s">
        <v>3079</v>
      </c>
      <c r="K14" s="215" t="s">
        <v>3007</v>
      </c>
      <c r="L14" s="215" t="s">
        <v>3008</v>
      </c>
      <c r="M14" s="216" t="s">
        <v>3009</v>
      </c>
    </row>
    <row r="15" spans="1:14">
      <c r="A15" s="184" t="s">
        <v>130</v>
      </c>
      <c r="B15" s="184" t="s">
        <v>3080</v>
      </c>
      <c r="C15" s="184">
        <v>2502170206</v>
      </c>
      <c r="D15" s="184" t="s">
        <v>3017</v>
      </c>
      <c r="E15" s="184" t="s">
        <v>3081</v>
      </c>
      <c r="F15" s="184" t="s">
        <v>3082</v>
      </c>
      <c r="G15" s="184" t="s">
        <v>3083</v>
      </c>
      <c r="H15" s="185" t="s">
        <v>3004</v>
      </c>
      <c r="I15" s="184" t="s">
        <v>3084</v>
      </c>
      <c r="J15" s="210" t="s">
        <v>3085</v>
      </c>
      <c r="K15" s="215" t="s">
        <v>3007</v>
      </c>
      <c r="L15" s="215" t="s">
        <v>3008</v>
      </c>
      <c r="M15" s="216" t="s">
        <v>3009</v>
      </c>
    </row>
    <row r="16" spans="1:14" s="242" customFormat="1">
      <c r="A16" s="243" t="s">
        <v>134</v>
      </c>
      <c r="B16" s="243" t="s">
        <v>3086</v>
      </c>
      <c r="C16" s="243">
        <v>2502170207</v>
      </c>
      <c r="D16" s="243" t="s">
        <v>3017</v>
      </c>
      <c r="E16" s="243" t="s">
        <v>3087</v>
      </c>
      <c r="F16" s="243" t="s">
        <v>3088</v>
      </c>
      <c r="G16" s="243" t="s">
        <v>3089</v>
      </c>
      <c r="H16" s="244" t="s">
        <v>3004</v>
      </c>
      <c r="I16" s="243" t="s">
        <v>3090</v>
      </c>
      <c r="J16" s="245" t="s">
        <v>3091</v>
      </c>
      <c r="K16" s="249" t="s">
        <v>3007</v>
      </c>
      <c r="L16" s="249" t="s">
        <v>3008</v>
      </c>
      <c r="M16" s="247" t="s">
        <v>3009</v>
      </c>
      <c r="N16" s="248"/>
    </row>
    <row r="17" spans="1:14">
      <c r="A17" s="184" t="s">
        <v>138</v>
      </c>
      <c r="B17" s="184" t="s">
        <v>3092</v>
      </c>
      <c r="C17" s="184">
        <v>2201121458</v>
      </c>
      <c r="D17" s="185" t="s">
        <v>3000</v>
      </c>
      <c r="E17" s="184" t="s">
        <v>3093</v>
      </c>
      <c r="F17" s="185" t="s">
        <v>3094</v>
      </c>
      <c r="G17" s="185" t="s">
        <v>3095</v>
      </c>
      <c r="H17" s="185" t="s">
        <v>3004</v>
      </c>
      <c r="I17" s="185" t="s">
        <v>3096</v>
      </c>
      <c r="J17" s="210" t="s">
        <v>3097</v>
      </c>
      <c r="K17" s="215" t="s">
        <v>3007</v>
      </c>
      <c r="L17" s="215" t="s">
        <v>3008</v>
      </c>
      <c r="M17" s="216" t="s">
        <v>3009</v>
      </c>
    </row>
    <row r="18" spans="1:14">
      <c r="A18" s="225" t="s">
        <v>142</v>
      </c>
      <c r="B18" s="225" t="s">
        <v>3098</v>
      </c>
      <c r="C18" s="225">
        <v>2201121314</v>
      </c>
      <c r="D18" s="226" t="s">
        <v>3000</v>
      </c>
      <c r="E18" s="225" t="s">
        <v>3099</v>
      </c>
      <c r="F18" s="226" t="s">
        <v>3100</v>
      </c>
      <c r="G18" s="226" t="s">
        <v>3101</v>
      </c>
      <c r="H18" s="226" t="s">
        <v>3004</v>
      </c>
      <c r="I18" s="226" t="s">
        <v>3102</v>
      </c>
      <c r="J18" s="227" t="s">
        <v>3103</v>
      </c>
      <c r="K18" s="231" t="s">
        <v>3007</v>
      </c>
      <c r="L18" s="231" t="s">
        <v>3008</v>
      </c>
      <c r="M18" s="229" t="s">
        <v>3009</v>
      </c>
      <c r="N18" s="230" t="s">
        <v>3104</v>
      </c>
    </row>
    <row r="19" spans="1:14">
      <c r="A19" s="184" t="s">
        <v>146</v>
      </c>
      <c r="B19" s="184" t="s">
        <v>3105</v>
      </c>
      <c r="C19" s="184">
        <v>2502170226</v>
      </c>
      <c r="D19" s="184" t="s">
        <v>3017</v>
      </c>
      <c r="E19" s="184" t="s">
        <v>3106</v>
      </c>
      <c r="F19" s="184" t="s">
        <v>3107</v>
      </c>
      <c r="G19" s="184" t="s">
        <v>3108</v>
      </c>
      <c r="H19" s="185" t="s">
        <v>3004</v>
      </c>
      <c r="I19" s="184" t="s">
        <v>3109</v>
      </c>
      <c r="J19" s="210" t="s">
        <v>3110</v>
      </c>
      <c r="K19" s="215" t="s">
        <v>3007</v>
      </c>
      <c r="L19" s="215" t="s">
        <v>3008</v>
      </c>
      <c r="M19" s="216" t="s">
        <v>3009</v>
      </c>
    </row>
    <row r="20" spans="1:14">
      <c r="A20" s="243" t="s">
        <v>149</v>
      </c>
      <c r="B20" s="243" t="s">
        <v>3111</v>
      </c>
      <c r="C20" s="243">
        <v>2502170408</v>
      </c>
      <c r="D20" s="243" t="s">
        <v>3017</v>
      </c>
      <c r="E20" s="243" t="s">
        <v>3112</v>
      </c>
      <c r="F20" s="243" t="s">
        <v>3113</v>
      </c>
      <c r="G20" s="243" t="s">
        <v>3114</v>
      </c>
      <c r="H20" s="244" t="s">
        <v>3004</v>
      </c>
      <c r="I20" s="243" t="s">
        <v>3115</v>
      </c>
      <c r="J20" s="245" t="s">
        <v>3116</v>
      </c>
      <c r="K20" s="249" t="s">
        <v>3007</v>
      </c>
      <c r="L20" s="249" t="s">
        <v>3008</v>
      </c>
      <c r="M20" s="247" t="s">
        <v>3009</v>
      </c>
      <c r="N20" s="248"/>
    </row>
    <row r="21" spans="1:14">
      <c r="A21" s="184" t="s">
        <v>152</v>
      </c>
      <c r="B21" s="184" t="s">
        <v>3117</v>
      </c>
      <c r="C21" s="184">
        <v>2502170219</v>
      </c>
      <c r="D21" s="184" t="s">
        <v>3017</v>
      </c>
      <c r="E21" s="184" t="s">
        <v>3118</v>
      </c>
      <c r="F21" s="184" t="s">
        <v>3119</v>
      </c>
      <c r="G21" s="184" t="s">
        <v>3120</v>
      </c>
      <c r="H21" s="185" t="s">
        <v>3004</v>
      </c>
      <c r="I21" s="184" t="s">
        <v>3121</v>
      </c>
      <c r="J21" s="210" t="s">
        <v>3122</v>
      </c>
      <c r="K21" s="215" t="s">
        <v>3007</v>
      </c>
      <c r="L21" s="215" t="s">
        <v>3008</v>
      </c>
      <c r="M21" s="216" t="s">
        <v>3009</v>
      </c>
    </row>
    <row r="22" spans="1:14">
      <c r="A22" s="184" t="s">
        <v>155</v>
      </c>
      <c r="B22" s="184" t="s">
        <v>3123</v>
      </c>
      <c r="C22" s="184">
        <v>2405070570</v>
      </c>
      <c r="D22" s="184" t="s">
        <v>3017</v>
      </c>
      <c r="E22" s="184" t="s">
        <v>3124</v>
      </c>
      <c r="F22" s="184" t="s">
        <v>3125</v>
      </c>
      <c r="G22" s="184" t="s">
        <v>3126</v>
      </c>
      <c r="H22" s="185" t="s">
        <v>3004</v>
      </c>
      <c r="I22" s="184" t="s">
        <v>3127</v>
      </c>
      <c r="J22" s="210" t="s">
        <v>3128</v>
      </c>
      <c r="K22" s="215" t="s">
        <v>3007</v>
      </c>
      <c r="L22" s="215" t="s">
        <v>3008</v>
      </c>
      <c r="M22" s="216" t="s">
        <v>3009</v>
      </c>
    </row>
    <row r="23" spans="1:14">
      <c r="A23" s="184" t="s">
        <v>159</v>
      </c>
      <c r="B23" s="184" t="s">
        <v>3129</v>
      </c>
      <c r="C23" s="184">
        <v>2502170472</v>
      </c>
      <c r="D23" s="184" t="s">
        <v>3017</v>
      </c>
      <c r="E23" s="184" t="s">
        <v>3130</v>
      </c>
      <c r="F23" s="184" t="s">
        <v>3131</v>
      </c>
      <c r="G23" s="184" t="s">
        <v>3132</v>
      </c>
      <c r="H23" s="185" t="s">
        <v>3004</v>
      </c>
      <c r="I23" s="184" t="s">
        <v>3133</v>
      </c>
      <c r="J23" s="210" t="s">
        <v>3134</v>
      </c>
      <c r="K23" s="215" t="s">
        <v>3007</v>
      </c>
      <c r="L23" s="215" t="s">
        <v>3008</v>
      </c>
      <c r="M23" s="216" t="s">
        <v>3009</v>
      </c>
    </row>
    <row r="24" spans="1:14">
      <c r="A24" s="225" t="s">
        <v>162</v>
      </c>
      <c r="B24" s="225" t="s">
        <v>3135</v>
      </c>
      <c r="C24" s="225">
        <v>2201121500</v>
      </c>
      <c r="D24" s="226" t="s">
        <v>3000</v>
      </c>
      <c r="E24" s="225" t="s">
        <v>3136</v>
      </c>
      <c r="F24" s="226" t="s">
        <v>3137</v>
      </c>
      <c r="G24" s="226" t="s">
        <v>3138</v>
      </c>
      <c r="H24" s="226" t="s">
        <v>3004</v>
      </c>
      <c r="I24" s="226" t="s">
        <v>3139</v>
      </c>
      <c r="J24" s="227" t="s">
        <v>3140</v>
      </c>
      <c r="K24" s="231" t="s">
        <v>3007</v>
      </c>
      <c r="L24" s="231" t="s">
        <v>3008</v>
      </c>
      <c r="M24" s="229" t="s">
        <v>3009</v>
      </c>
      <c r="N24" s="230" t="s">
        <v>3141</v>
      </c>
    </row>
    <row r="25" spans="1:14">
      <c r="A25" s="184" t="s">
        <v>166</v>
      </c>
      <c r="B25" s="184" t="s">
        <v>3142</v>
      </c>
      <c r="C25" s="184">
        <v>2201121399</v>
      </c>
      <c r="D25" s="185" t="s">
        <v>3000</v>
      </c>
      <c r="E25" s="185" t="s">
        <v>3143</v>
      </c>
      <c r="F25" s="185" t="s">
        <v>3144</v>
      </c>
      <c r="G25" s="185" t="s">
        <v>3145</v>
      </c>
      <c r="H25" s="185" t="s">
        <v>3004</v>
      </c>
      <c r="I25" s="185" t="s">
        <v>3146</v>
      </c>
      <c r="J25" s="210" t="s">
        <v>3147</v>
      </c>
      <c r="K25" s="218" t="s">
        <v>3007</v>
      </c>
      <c r="L25" s="218" t="s">
        <v>3008</v>
      </c>
      <c r="M25" s="216" t="s">
        <v>3009</v>
      </c>
    </row>
    <row r="26" spans="1:14">
      <c r="A26" s="243" t="s">
        <v>170</v>
      </c>
      <c r="B26" s="243" t="s">
        <v>3148</v>
      </c>
      <c r="C26" s="243">
        <v>2502170246</v>
      </c>
      <c r="D26" s="243" t="s">
        <v>3017</v>
      </c>
      <c r="E26" s="243" t="s">
        <v>3149</v>
      </c>
      <c r="F26" s="243" t="s">
        <v>3150</v>
      </c>
      <c r="G26" s="243" t="s">
        <v>3151</v>
      </c>
      <c r="H26" s="244" t="s">
        <v>3004</v>
      </c>
      <c r="I26" s="243" t="s">
        <v>3152</v>
      </c>
      <c r="J26" s="245" t="s">
        <v>3153</v>
      </c>
      <c r="K26" s="249" t="s">
        <v>3007</v>
      </c>
      <c r="L26" s="249" t="s">
        <v>3008</v>
      </c>
      <c r="M26" s="247" t="s">
        <v>3009</v>
      </c>
      <c r="N26" s="248"/>
    </row>
    <row r="27" spans="1:14">
      <c r="A27" s="184" t="s">
        <v>175</v>
      </c>
      <c r="B27" s="184" t="s">
        <v>178</v>
      </c>
      <c r="C27" s="184">
        <v>2502170041</v>
      </c>
      <c r="D27" s="184" t="s">
        <v>3017</v>
      </c>
      <c r="E27" s="184" t="s">
        <v>3154</v>
      </c>
      <c r="F27" s="184" t="s">
        <v>3155</v>
      </c>
      <c r="G27" s="184" t="s">
        <v>3156</v>
      </c>
      <c r="H27" s="185" t="s">
        <v>3004</v>
      </c>
      <c r="I27" s="212" t="s">
        <v>3157</v>
      </c>
      <c r="J27" s="210" t="s">
        <v>3158</v>
      </c>
      <c r="K27" s="218" t="s">
        <v>3007</v>
      </c>
      <c r="L27" s="218" t="s">
        <v>3008</v>
      </c>
      <c r="M27" s="216" t="s">
        <v>3009</v>
      </c>
    </row>
    <row r="28" spans="1:14">
      <c r="A28" s="184" t="s">
        <v>180</v>
      </c>
      <c r="B28" s="184" t="s">
        <v>3159</v>
      </c>
      <c r="C28" s="184">
        <v>2502170312</v>
      </c>
      <c r="D28" s="184" t="s">
        <v>3017</v>
      </c>
      <c r="E28" s="184" t="s">
        <v>3160</v>
      </c>
      <c r="F28" s="184" t="s">
        <v>3161</v>
      </c>
      <c r="G28" s="184" t="s">
        <v>3162</v>
      </c>
      <c r="H28" s="185" t="s">
        <v>3004</v>
      </c>
      <c r="I28" s="212" t="s">
        <v>3163</v>
      </c>
      <c r="J28" s="210" t="s">
        <v>3164</v>
      </c>
      <c r="K28" s="237" t="s">
        <v>3007</v>
      </c>
      <c r="L28" s="237" t="s">
        <v>3008</v>
      </c>
      <c r="M28" s="217" t="s">
        <v>3009</v>
      </c>
    </row>
    <row r="29" spans="1:14">
      <c r="A29" s="184" t="s">
        <v>184</v>
      </c>
      <c r="B29" s="184" t="s">
        <v>3165</v>
      </c>
      <c r="C29" s="184">
        <v>2502170443</v>
      </c>
      <c r="D29" s="184" t="s">
        <v>3017</v>
      </c>
      <c r="E29" s="184" t="s">
        <v>3166</v>
      </c>
      <c r="F29" s="184" t="s">
        <v>3167</v>
      </c>
      <c r="G29" s="184" t="s">
        <v>3168</v>
      </c>
      <c r="H29" s="185" t="s">
        <v>3004</v>
      </c>
      <c r="I29" s="184" t="s">
        <v>3169</v>
      </c>
      <c r="J29" s="210" t="s">
        <v>3170</v>
      </c>
      <c r="K29" s="237" t="s">
        <v>3007</v>
      </c>
      <c r="L29" s="237" t="s">
        <v>3008</v>
      </c>
      <c r="M29" s="217" t="s">
        <v>3009</v>
      </c>
    </row>
    <row r="30" spans="1:14">
      <c r="A30" s="243" t="s">
        <v>188</v>
      </c>
      <c r="B30" s="243" t="s">
        <v>3171</v>
      </c>
      <c r="C30" s="243">
        <v>2502170498</v>
      </c>
      <c r="D30" s="243" t="s">
        <v>3017</v>
      </c>
      <c r="E30" s="243" t="s">
        <v>3172</v>
      </c>
      <c r="F30" s="243" t="s">
        <v>3173</v>
      </c>
      <c r="G30" s="243" t="s">
        <v>3174</v>
      </c>
      <c r="H30" s="244" t="s">
        <v>3004</v>
      </c>
      <c r="I30" s="251" t="s">
        <v>3175</v>
      </c>
      <c r="J30" s="245" t="s">
        <v>3176</v>
      </c>
      <c r="K30" s="249" t="s">
        <v>3007</v>
      </c>
      <c r="L30" s="249" t="s">
        <v>3008</v>
      </c>
      <c r="M30" s="247" t="s">
        <v>3009</v>
      </c>
      <c r="N30" s="252"/>
    </row>
    <row r="31" spans="1:14">
      <c r="A31" s="219" t="s">
        <v>192</v>
      </c>
      <c r="B31" s="219" t="s">
        <v>3177</v>
      </c>
      <c r="C31" s="219">
        <v>2502170196</v>
      </c>
      <c r="D31" s="219" t="s">
        <v>3017</v>
      </c>
      <c r="E31" s="219" t="s">
        <v>3178</v>
      </c>
      <c r="F31" s="219" t="s">
        <v>3179</v>
      </c>
      <c r="G31" s="219" t="s">
        <v>3180</v>
      </c>
      <c r="H31" s="220" t="s">
        <v>3004</v>
      </c>
      <c r="I31" s="219" t="s">
        <v>3181</v>
      </c>
      <c r="J31" s="221" t="s">
        <v>3182</v>
      </c>
      <c r="K31" s="222"/>
      <c r="L31" s="222"/>
      <c r="M31" s="223"/>
      <c r="N31" s="224" t="s">
        <v>3023</v>
      </c>
    </row>
    <row r="32" spans="1:14">
      <c r="A32" s="184" t="s">
        <v>195</v>
      </c>
      <c r="B32" s="184" t="s">
        <v>3183</v>
      </c>
      <c r="C32" s="184">
        <v>2502170191</v>
      </c>
      <c r="D32" s="184" t="s">
        <v>3017</v>
      </c>
      <c r="E32" s="184" t="s">
        <v>3184</v>
      </c>
      <c r="F32" s="184" t="s">
        <v>3185</v>
      </c>
      <c r="G32" s="184" t="s">
        <v>3186</v>
      </c>
      <c r="H32" s="185" t="s">
        <v>3004</v>
      </c>
      <c r="I32" s="184" t="s">
        <v>3187</v>
      </c>
      <c r="J32" s="210" t="s">
        <v>3188</v>
      </c>
      <c r="K32" s="215" t="s">
        <v>3007</v>
      </c>
      <c r="L32" s="215" t="s">
        <v>3008</v>
      </c>
      <c r="M32" s="216" t="s">
        <v>3009</v>
      </c>
    </row>
    <row r="33" spans="1:14">
      <c r="A33" s="184" t="s">
        <v>198</v>
      </c>
      <c r="B33" s="184" t="s">
        <v>3189</v>
      </c>
      <c r="C33" s="184">
        <v>2310230184</v>
      </c>
      <c r="D33" s="184" t="s">
        <v>3017</v>
      </c>
      <c r="E33" s="184" t="s">
        <v>3190</v>
      </c>
      <c r="F33" s="184" t="s">
        <v>3191</v>
      </c>
      <c r="G33" s="184" t="s">
        <v>3192</v>
      </c>
      <c r="H33" s="185" t="s">
        <v>3004</v>
      </c>
      <c r="I33" s="184" t="s">
        <v>3193</v>
      </c>
      <c r="J33" s="210" t="s">
        <v>3194</v>
      </c>
      <c r="K33" s="215" t="s">
        <v>3007</v>
      </c>
      <c r="L33" s="215" t="s">
        <v>3008</v>
      </c>
      <c r="M33" s="216" t="s">
        <v>3009</v>
      </c>
    </row>
    <row r="34" spans="1:14">
      <c r="A34" s="243" t="s">
        <v>201</v>
      </c>
      <c r="B34" s="243" t="s">
        <v>3195</v>
      </c>
      <c r="C34" s="243">
        <v>2502170464</v>
      </c>
      <c r="D34" s="243" t="s">
        <v>3017</v>
      </c>
      <c r="E34" s="243" t="s">
        <v>3196</v>
      </c>
      <c r="F34" s="243" t="s">
        <v>3197</v>
      </c>
      <c r="G34" s="243" t="s">
        <v>3198</v>
      </c>
      <c r="H34" s="244" t="s">
        <v>3004</v>
      </c>
      <c r="I34" s="243" t="s">
        <v>3199</v>
      </c>
      <c r="J34" s="245" t="s">
        <v>3200</v>
      </c>
      <c r="K34" s="249" t="s">
        <v>3007</v>
      </c>
      <c r="L34" s="249" t="s">
        <v>3008</v>
      </c>
      <c r="M34" s="247" t="s">
        <v>3009</v>
      </c>
      <c r="N34" s="248"/>
    </row>
    <row r="35" spans="1:14">
      <c r="A35" s="184" t="s">
        <v>204</v>
      </c>
      <c r="B35" s="184" t="s">
        <v>3201</v>
      </c>
      <c r="C35" s="184">
        <v>2502170310</v>
      </c>
      <c r="D35" s="184" t="s">
        <v>3017</v>
      </c>
      <c r="E35" s="184" t="s">
        <v>3202</v>
      </c>
      <c r="F35" s="184" t="s">
        <v>3203</v>
      </c>
      <c r="G35" s="184" t="s">
        <v>3204</v>
      </c>
      <c r="H35" s="185" t="s">
        <v>3004</v>
      </c>
      <c r="I35" s="184" t="s">
        <v>3205</v>
      </c>
      <c r="J35" s="210" t="s">
        <v>3206</v>
      </c>
      <c r="K35" s="218" t="s">
        <v>3007</v>
      </c>
      <c r="L35" s="218" t="s">
        <v>3008</v>
      </c>
      <c r="M35" s="216" t="s">
        <v>3009</v>
      </c>
    </row>
    <row r="36" spans="1:14">
      <c r="A36" s="184" t="s">
        <v>207</v>
      </c>
      <c r="B36" s="184" t="s">
        <v>3207</v>
      </c>
      <c r="C36" s="184">
        <v>2405070266</v>
      </c>
      <c r="D36" s="184" t="s">
        <v>3017</v>
      </c>
      <c r="E36" s="184" t="s">
        <v>3208</v>
      </c>
      <c r="F36" s="184" t="s">
        <v>3209</v>
      </c>
      <c r="G36" s="184" t="s">
        <v>3210</v>
      </c>
      <c r="H36" s="185" t="s">
        <v>3004</v>
      </c>
      <c r="I36" s="184" t="s">
        <v>3211</v>
      </c>
      <c r="J36" s="210" t="s">
        <v>3212</v>
      </c>
      <c r="K36" s="215" t="s">
        <v>3007</v>
      </c>
      <c r="L36" s="215" t="s">
        <v>3008</v>
      </c>
      <c r="M36" s="216" t="s">
        <v>3009</v>
      </c>
    </row>
    <row r="37" spans="1:14">
      <c r="A37" s="184" t="s">
        <v>210</v>
      </c>
      <c r="B37" s="184" t="s">
        <v>3213</v>
      </c>
      <c r="C37" s="184">
        <v>2502170406</v>
      </c>
      <c r="D37" s="184" t="s">
        <v>3017</v>
      </c>
      <c r="E37" s="184" t="s">
        <v>3214</v>
      </c>
      <c r="F37" s="184" t="s">
        <v>3215</v>
      </c>
      <c r="G37" s="184" t="s">
        <v>3216</v>
      </c>
      <c r="H37" s="185" t="s">
        <v>3004</v>
      </c>
      <c r="I37" s="184" t="s">
        <v>3217</v>
      </c>
      <c r="J37" s="210" t="s">
        <v>3218</v>
      </c>
      <c r="K37" s="215" t="s">
        <v>3007</v>
      </c>
      <c r="L37" s="215" t="s">
        <v>3008</v>
      </c>
      <c r="M37" s="216" t="s">
        <v>3009</v>
      </c>
    </row>
    <row r="38" spans="1:14">
      <c r="A38" s="184" t="s">
        <v>213</v>
      </c>
      <c r="B38" s="184" t="s">
        <v>3219</v>
      </c>
      <c r="C38" s="184">
        <v>2502170431</v>
      </c>
      <c r="D38" s="184" t="s">
        <v>3017</v>
      </c>
      <c r="E38" s="184" t="s">
        <v>3220</v>
      </c>
      <c r="F38" s="184" t="s">
        <v>3221</v>
      </c>
      <c r="G38" s="184" t="s">
        <v>3222</v>
      </c>
      <c r="H38" s="185" t="s">
        <v>3004</v>
      </c>
      <c r="I38" s="184" t="s">
        <v>3223</v>
      </c>
      <c r="J38" s="210" t="s">
        <v>3224</v>
      </c>
      <c r="K38" s="218" t="s">
        <v>3007</v>
      </c>
      <c r="L38" s="218" t="s">
        <v>3008</v>
      </c>
      <c r="M38" s="216" t="s">
        <v>3009</v>
      </c>
    </row>
    <row r="39" spans="1:14">
      <c r="A39" s="184" t="s">
        <v>218</v>
      </c>
      <c r="B39" s="184" t="s">
        <v>3225</v>
      </c>
      <c r="C39" s="184">
        <v>2310230171</v>
      </c>
      <c r="D39" s="184" t="s">
        <v>3017</v>
      </c>
      <c r="E39" s="184" t="s">
        <v>3226</v>
      </c>
      <c r="F39" s="184" t="s">
        <v>3227</v>
      </c>
      <c r="G39" s="184" t="s">
        <v>3228</v>
      </c>
      <c r="H39" s="185" t="s">
        <v>3004</v>
      </c>
      <c r="I39" s="184" t="s">
        <v>3229</v>
      </c>
      <c r="J39" s="210" t="s">
        <v>3230</v>
      </c>
      <c r="K39" s="218" t="s">
        <v>3007</v>
      </c>
      <c r="L39" s="218" t="s">
        <v>3008</v>
      </c>
      <c r="M39" s="216" t="s">
        <v>3009</v>
      </c>
    </row>
    <row r="40" spans="1:14">
      <c r="A40" s="184" t="s">
        <v>222</v>
      </c>
      <c r="B40" s="184" t="s">
        <v>3231</v>
      </c>
      <c r="C40" s="184">
        <v>2502170193</v>
      </c>
      <c r="D40" s="184" t="s">
        <v>3017</v>
      </c>
      <c r="E40" s="184" t="s">
        <v>3232</v>
      </c>
      <c r="F40" s="184" t="s">
        <v>3233</v>
      </c>
      <c r="G40" s="184" t="s">
        <v>3234</v>
      </c>
      <c r="H40" s="185" t="s">
        <v>3004</v>
      </c>
      <c r="I40" s="184" t="s">
        <v>3235</v>
      </c>
      <c r="J40" s="210" t="s">
        <v>3236</v>
      </c>
      <c r="K40" s="218" t="s">
        <v>3007</v>
      </c>
      <c r="L40" s="218" t="s">
        <v>3008</v>
      </c>
      <c r="M40" s="216" t="s">
        <v>3009</v>
      </c>
    </row>
    <row r="41" spans="1:14">
      <c r="A41" s="184" t="s">
        <v>226</v>
      </c>
      <c r="B41" s="184" t="s">
        <v>3237</v>
      </c>
      <c r="C41" s="184">
        <v>2405070672</v>
      </c>
      <c r="D41" s="184" t="s">
        <v>3017</v>
      </c>
      <c r="E41" s="184" t="s">
        <v>3238</v>
      </c>
      <c r="F41" s="184" t="s">
        <v>3239</v>
      </c>
      <c r="G41" s="184" t="s">
        <v>3240</v>
      </c>
      <c r="H41" s="185" t="s">
        <v>3004</v>
      </c>
      <c r="I41" s="184" t="s">
        <v>3241</v>
      </c>
      <c r="J41" s="210" t="s">
        <v>3242</v>
      </c>
      <c r="K41" s="218" t="s">
        <v>3007</v>
      </c>
      <c r="L41" s="218" t="s">
        <v>3008</v>
      </c>
      <c r="M41" s="216" t="s">
        <v>3009</v>
      </c>
    </row>
    <row r="42" spans="1:14">
      <c r="A42" s="184" t="s">
        <v>230</v>
      </c>
      <c r="B42" s="184" t="s">
        <v>3243</v>
      </c>
      <c r="C42" s="184">
        <v>2405070257</v>
      </c>
      <c r="D42" s="184" t="s">
        <v>3017</v>
      </c>
      <c r="E42" s="184" t="s">
        <v>3244</v>
      </c>
      <c r="F42" s="184" t="s">
        <v>3245</v>
      </c>
      <c r="G42" s="184" t="s">
        <v>3246</v>
      </c>
      <c r="H42" s="185" t="s">
        <v>3004</v>
      </c>
      <c r="I42" s="184" t="s">
        <v>3247</v>
      </c>
      <c r="J42" s="210" t="s">
        <v>3248</v>
      </c>
      <c r="K42" s="215" t="s">
        <v>3007</v>
      </c>
      <c r="L42" s="215" t="s">
        <v>3008</v>
      </c>
      <c r="M42" s="216" t="s">
        <v>3009</v>
      </c>
    </row>
    <row r="43" spans="1:14">
      <c r="A43" s="184" t="s">
        <v>234</v>
      </c>
      <c r="B43" s="184" t="s">
        <v>3249</v>
      </c>
      <c r="C43" s="184">
        <v>2502170190</v>
      </c>
      <c r="D43" s="184" t="s">
        <v>3017</v>
      </c>
      <c r="E43" s="184" t="s">
        <v>3250</v>
      </c>
      <c r="F43" s="184" t="s">
        <v>3251</v>
      </c>
      <c r="G43" s="184" t="s">
        <v>3252</v>
      </c>
      <c r="H43" s="185" t="s">
        <v>3004</v>
      </c>
      <c r="I43" s="184" t="s">
        <v>3253</v>
      </c>
      <c r="J43" s="210" t="s">
        <v>3254</v>
      </c>
      <c r="K43" s="218" t="s">
        <v>3007</v>
      </c>
      <c r="L43" s="218" t="s">
        <v>3008</v>
      </c>
      <c r="M43" s="216" t="s">
        <v>3009</v>
      </c>
    </row>
    <row r="44" spans="1:14">
      <c r="A44" s="184" t="s">
        <v>238</v>
      </c>
      <c r="B44" s="184" t="s">
        <v>3255</v>
      </c>
      <c r="C44" s="184">
        <v>2502170220</v>
      </c>
      <c r="D44" s="184" t="s">
        <v>3017</v>
      </c>
      <c r="E44" s="184" t="s">
        <v>3256</v>
      </c>
      <c r="F44" s="184" t="s">
        <v>3257</v>
      </c>
      <c r="G44" s="184" t="s">
        <v>3258</v>
      </c>
      <c r="H44" s="185" t="s">
        <v>3004</v>
      </c>
      <c r="I44" s="184" t="s">
        <v>3259</v>
      </c>
      <c r="J44" s="210" t="s">
        <v>3260</v>
      </c>
      <c r="K44" s="218" t="s">
        <v>3007</v>
      </c>
      <c r="L44" s="218" t="s">
        <v>3008</v>
      </c>
      <c r="M44" s="216" t="s">
        <v>3009</v>
      </c>
    </row>
    <row r="45" spans="1:14">
      <c r="A45" s="184" t="s">
        <v>242</v>
      </c>
      <c r="B45" s="184" t="s">
        <v>3261</v>
      </c>
      <c r="C45" s="184">
        <v>2502170037</v>
      </c>
      <c r="D45" s="184" t="s">
        <v>3017</v>
      </c>
      <c r="E45" s="184" t="s">
        <v>3262</v>
      </c>
      <c r="F45" s="184" t="s">
        <v>3263</v>
      </c>
      <c r="G45" s="184" t="s">
        <v>3264</v>
      </c>
      <c r="H45" s="185" t="s">
        <v>3004</v>
      </c>
      <c r="I45" s="184" t="s">
        <v>3265</v>
      </c>
      <c r="J45" s="210" t="s">
        <v>3266</v>
      </c>
      <c r="K45" s="218" t="s">
        <v>3007</v>
      </c>
      <c r="L45" s="218" t="s">
        <v>3008</v>
      </c>
      <c r="M45" s="216" t="s">
        <v>3009</v>
      </c>
    </row>
    <row r="46" spans="1:14">
      <c r="A46" s="184" t="s">
        <v>245</v>
      </c>
      <c r="B46" s="184" t="s">
        <v>3267</v>
      </c>
      <c r="C46" s="184">
        <v>2201121491</v>
      </c>
      <c r="D46" s="184" t="s">
        <v>3000</v>
      </c>
      <c r="E46" s="184" t="s">
        <v>3268</v>
      </c>
      <c r="F46" s="184" t="s">
        <v>3269</v>
      </c>
      <c r="G46" s="184" t="s">
        <v>3270</v>
      </c>
      <c r="H46" s="185" t="s">
        <v>3004</v>
      </c>
      <c r="I46" s="184" t="s">
        <v>3271</v>
      </c>
      <c r="J46" s="210" t="s">
        <v>3272</v>
      </c>
      <c r="K46" s="215" t="s">
        <v>3007</v>
      </c>
      <c r="L46" s="215" t="s">
        <v>3008</v>
      </c>
      <c r="M46" s="216" t="s">
        <v>3009</v>
      </c>
    </row>
    <row r="47" spans="1:14">
      <c r="A47" s="238" t="s">
        <v>250</v>
      </c>
      <c r="B47" s="238" t="s">
        <v>3273</v>
      </c>
      <c r="C47" s="238">
        <v>2201121408</v>
      </c>
      <c r="D47" s="238" t="s">
        <v>3000</v>
      </c>
      <c r="E47" s="238" t="s">
        <v>3274</v>
      </c>
      <c r="F47" s="238" t="s">
        <v>3275</v>
      </c>
      <c r="G47" s="238" t="s">
        <v>3276</v>
      </c>
      <c r="H47" s="239" t="s">
        <v>3004</v>
      </c>
      <c r="I47" s="238" t="s">
        <v>3277</v>
      </c>
      <c r="J47" s="240" t="s">
        <v>3278</v>
      </c>
      <c r="K47" s="250" t="s">
        <v>3007</v>
      </c>
      <c r="L47" s="250" t="s">
        <v>3008</v>
      </c>
      <c r="M47" s="241" t="s">
        <v>3009</v>
      </c>
      <c r="N47" s="242"/>
    </row>
    <row r="48" spans="1:14">
      <c r="A48" s="184" t="s">
        <v>254</v>
      </c>
      <c r="B48" s="184" t="s">
        <v>3279</v>
      </c>
      <c r="C48" s="184">
        <v>2201121405</v>
      </c>
      <c r="D48" s="184" t="s">
        <v>3000</v>
      </c>
      <c r="E48" s="184" t="s">
        <v>3280</v>
      </c>
      <c r="F48" s="184" t="s">
        <v>3281</v>
      </c>
      <c r="G48" s="184" t="s">
        <v>3282</v>
      </c>
      <c r="H48" s="185" t="s">
        <v>3004</v>
      </c>
      <c r="I48" s="184" t="s">
        <v>3283</v>
      </c>
      <c r="J48" s="210" t="s">
        <v>3284</v>
      </c>
      <c r="K48" s="218" t="s">
        <v>3007</v>
      </c>
      <c r="L48" s="218" t="s">
        <v>3008</v>
      </c>
      <c r="M48" s="216" t="s">
        <v>3009</v>
      </c>
    </row>
    <row r="49" spans="1:14">
      <c r="A49" s="225" t="s">
        <v>258</v>
      </c>
      <c r="B49" s="225" t="s">
        <v>3285</v>
      </c>
      <c r="C49" s="225">
        <v>2205180079</v>
      </c>
      <c r="D49" s="225" t="s">
        <v>3000</v>
      </c>
      <c r="E49" s="225" t="s">
        <v>3286</v>
      </c>
      <c r="F49" s="225" t="s">
        <v>3287</v>
      </c>
      <c r="G49" s="225" t="s">
        <v>3288</v>
      </c>
      <c r="H49" s="226" t="s">
        <v>3004</v>
      </c>
      <c r="I49" s="225" t="s">
        <v>3289</v>
      </c>
      <c r="J49" s="227" t="s">
        <v>3290</v>
      </c>
      <c r="K49" s="228" t="s">
        <v>3007</v>
      </c>
      <c r="L49" s="228" t="s">
        <v>3008</v>
      </c>
      <c r="M49" s="229" t="s">
        <v>3009</v>
      </c>
      <c r="N49" s="230" t="s">
        <v>3291</v>
      </c>
    </row>
    <row r="50" spans="1:14">
      <c r="A50" s="184" t="s">
        <v>262</v>
      </c>
      <c r="B50" s="184" t="s">
        <v>3292</v>
      </c>
      <c r="C50" s="184">
        <v>2201121175</v>
      </c>
      <c r="D50" s="184" t="s">
        <v>3000</v>
      </c>
      <c r="E50" s="184" t="s">
        <v>3293</v>
      </c>
      <c r="F50" s="184" t="s">
        <v>3294</v>
      </c>
      <c r="G50" s="184" t="s">
        <v>3295</v>
      </c>
      <c r="H50" s="185" t="s">
        <v>3004</v>
      </c>
      <c r="I50" s="184" t="s">
        <v>3296</v>
      </c>
      <c r="J50" s="210" t="s">
        <v>3297</v>
      </c>
      <c r="K50" s="218" t="s">
        <v>3007</v>
      </c>
      <c r="L50" s="218" t="s">
        <v>3008</v>
      </c>
      <c r="M50" s="216" t="s">
        <v>3009</v>
      </c>
    </row>
    <row r="51" spans="1:14">
      <c r="A51" s="184" t="s">
        <v>266</v>
      </c>
      <c r="B51" s="184" t="s">
        <v>3298</v>
      </c>
      <c r="C51" s="184">
        <v>2205180078</v>
      </c>
      <c r="D51" s="184" t="s">
        <v>3000</v>
      </c>
      <c r="E51" s="184" t="s">
        <v>3299</v>
      </c>
      <c r="F51" s="184" t="s">
        <v>3300</v>
      </c>
      <c r="G51" s="184" t="s">
        <v>3301</v>
      </c>
      <c r="H51" s="185" t="s">
        <v>3004</v>
      </c>
      <c r="I51" s="184" t="s">
        <v>3302</v>
      </c>
      <c r="J51" s="210" t="s">
        <v>3303</v>
      </c>
      <c r="K51" s="218" t="s">
        <v>3007</v>
      </c>
      <c r="L51" s="218" t="s">
        <v>3008</v>
      </c>
      <c r="M51" s="216" t="s">
        <v>3009</v>
      </c>
    </row>
    <row r="52" spans="1:14">
      <c r="A52" s="184" t="s">
        <v>269</v>
      </c>
      <c r="B52" s="184" t="s">
        <v>3304</v>
      </c>
      <c r="C52" s="184">
        <v>2205180124</v>
      </c>
      <c r="D52" s="184" t="s">
        <v>3000</v>
      </c>
      <c r="E52" s="184" t="s">
        <v>3305</v>
      </c>
      <c r="F52" s="184" t="s">
        <v>3306</v>
      </c>
      <c r="G52" s="184" t="s">
        <v>3307</v>
      </c>
      <c r="H52" s="185" t="s">
        <v>3004</v>
      </c>
      <c r="I52" s="184" t="s">
        <v>3308</v>
      </c>
      <c r="J52" s="210" t="s">
        <v>3309</v>
      </c>
      <c r="K52" s="215" t="s">
        <v>3007</v>
      </c>
      <c r="L52" s="215" t="s">
        <v>3008</v>
      </c>
      <c r="M52" s="216" t="s">
        <v>3009</v>
      </c>
    </row>
    <row r="53" spans="1:14">
      <c r="A53" s="184" t="s">
        <v>273</v>
      </c>
      <c r="B53" s="184" t="s">
        <v>3310</v>
      </c>
      <c r="C53" s="184">
        <v>2201121417</v>
      </c>
      <c r="D53" s="184" t="s">
        <v>3000</v>
      </c>
      <c r="E53" s="184" t="s">
        <v>3311</v>
      </c>
      <c r="F53" s="184" t="s">
        <v>3312</v>
      </c>
      <c r="G53" s="184" t="s">
        <v>3313</v>
      </c>
      <c r="H53" s="185" t="s">
        <v>3004</v>
      </c>
      <c r="I53" s="184" t="s">
        <v>3314</v>
      </c>
      <c r="J53" s="210" t="s">
        <v>3315</v>
      </c>
      <c r="K53" s="218" t="s">
        <v>3007</v>
      </c>
      <c r="L53" s="218" t="s">
        <v>3008</v>
      </c>
      <c r="M53" s="216" t="s">
        <v>3009</v>
      </c>
    </row>
    <row r="54" spans="1:14">
      <c r="A54" s="184" t="s">
        <v>277</v>
      </c>
      <c r="B54" s="184" t="s">
        <v>3316</v>
      </c>
      <c r="C54" s="184">
        <v>2201121425</v>
      </c>
      <c r="D54" s="184" t="s">
        <v>3000</v>
      </c>
      <c r="E54" s="184" t="s">
        <v>3317</v>
      </c>
      <c r="F54" s="184" t="s">
        <v>3318</v>
      </c>
      <c r="G54" s="184" t="s">
        <v>3319</v>
      </c>
      <c r="H54" s="185" t="s">
        <v>3004</v>
      </c>
      <c r="I54" s="184" t="s">
        <v>3320</v>
      </c>
      <c r="J54" s="210" t="s">
        <v>3321</v>
      </c>
      <c r="K54" s="218" t="s">
        <v>3007</v>
      </c>
      <c r="L54" s="218" t="s">
        <v>3008</v>
      </c>
      <c r="M54" s="216" t="s">
        <v>3009</v>
      </c>
    </row>
    <row r="55" spans="1:14">
      <c r="A55" s="184" t="s">
        <v>281</v>
      </c>
      <c r="B55" s="184" t="s">
        <v>3322</v>
      </c>
      <c r="C55" s="184">
        <v>2102150417</v>
      </c>
      <c r="D55" s="184" t="s">
        <v>3000</v>
      </c>
      <c r="E55" s="184" t="s">
        <v>3323</v>
      </c>
      <c r="F55" s="184" t="s">
        <v>3324</v>
      </c>
      <c r="G55" s="184" t="s">
        <v>3325</v>
      </c>
      <c r="H55" s="185" t="s">
        <v>3004</v>
      </c>
      <c r="I55" s="184" t="s">
        <v>3326</v>
      </c>
      <c r="J55" s="210" t="s">
        <v>3327</v>
      </c>
      <c r="K55" s="215" t="s">
        <v>3007</v>
      </c>
      <c r="L55" s="215" t="s">
        <v>3008</v>
      </c>
      <c r="M55" s="216" t="s">
        <v>3009</v>
      </c>
    </row>
    <row r="56" spans="1:14">
      <c r="A56" s="184" t="s">
        <v>285</v>
      </c>
      <c r="B56" s="184" t="s">
        <v>3328</v>
      </c>
      <c r="C56" s="184">
        <v>2201121319</v>
      </c>
      <c r="D56" s="184" t="s">
        <v>3000</v>
      </c>
      <c r="E56" s="184" t="s">
        <v>3329</v>
      </c>
      <c r="F56" s="184" t="s">
        <v>3330</v>
      </c>
      <c r="G56" s="184" t="s">
        <v>3331</v>
      </c>
      <c r="H56" s="185" t="s">
        <v>3004</v>
      </c>
      <c r="I56" s="184" t="s">
        <v>3332</v>
      </c>
      <c r="J56" s="210" t="s">
        <v>3333</v>
      </c>
      <c r="K56" s="218" t="s">
        <v>3007</v>
      </c>
      <c r="L56" s="218" t="s">
        <v>3008</v>
      </c>
      <c r="M56" s="216" t="s">
        <v>3009</v>
      </c>
    </row>
    <row r="57" spans="1:14">
      <c r="A57" s="184" t="s">
        <v>290</v>
      </c>
      <c r="B57" s="184" t="s">
        <v>3334</v>
      </c>
      <c r="C57" s="184">
        <v>2201121182</v>
      </c>
      <c r="D57" s="184" t="s">
        <v>3000</v>
      </c>
      <c r="E57" s="184" t="s">
        <v>3335</v>
      </c>
      <c r="F57" s="184" t="s">
        <v>3336</v>
      </c>
      <c r="G57" s="184" t="s">
        <v>3337</v>
      </c>
      <c r="H57" s="185" t="s">
        <v>3004</v>
      </c>
      <c r="I57" s="184" t="s">
        <v>3338</v>
      </c>
      <c r="J57" s="210" t="s">
        <v>3339</v>
      </c>
      <c r="K57" s="218" t="s">
        <v>3007</v>
      </c>
      <c r="L57" s="218" t="s">
        <v>3008</v>
      </c>
      <c r="M57" s="216" t="s">
        <v>3009</v>
      </c>
    </row>
    <row r="58" spans="1:14">
      <c r="A58" s="184" t="s">
        <v>293</v>
      </c>
      <c r="B58" s="184" t="s">
        <v>3340</v>
      </c>
      <c r="C58" s="184">
        <v>2201121179</v>
      </c>
      <c r="D58" s="184" t="s">
        <v>3000</v>
      </c>
      <c r="E58" s="184" t="s">
        <v>3341</v>
      </c>
      <c r="F58" s="184" t="s">
        <v>3342</v>
      </c>
      <c r="G58" s="184" t="s">
        <v>3343</v>
      </c>
      <c r="H58" s="185" t="s">
        <v>3004</v>
      </c>
      <c r="I58" s="184" t="s">
        <v>3344</v>
      </c>
      <c r="J58" s="210" t="s">
        <v>3345</v>
      </c>
      <c r="K58" s="218" t="s">
        <v>3007</v>
      </c>
      <c r="L58" s="218" t="s">
        <v>3008</v>
      </c>
      <c r="M58" s="216" t="s">
        <v>3009</v>
      </c>
    </row>
    <row r="59" spans="1:14" s="242" customFormat="1">
      <c r="A59" s="238" t="s">
        <v>296</v>
      </c>
      <c r="B59" s="238" t="s">
        <v>3346</v>
      </c>
      <c r="C59" s="238">
        <v>2201121321</v>
      </c>
      <c r="D59" s="238" t="s">
        <v>3000</v>
      </c>
      <c r="E59" s="238" t="s">
        <v>3347</v>
      </c>
      <c r="F59" s="238" t="s">
        <v>3348</v>
      </c>
      <c r="G59" s="238" t="s">
        <v>3349</v>
      </c>
      <c r="H59" s="239" t="s">
        <v>3004</v>
      </c>
      <c r="I59" s="238" t="s">
        <v>3350</v>
      </c>
      <c r="J59" s="240" t="s">
        <v>3351</v>
      </c>
      <c r="K59" s="250" t="s">
        <v>3007</v>
      </c>
      <c r="L59" s="250" t="s">
        <v>3008</v>
      </c>
      <c r="M59" s="241" t="s">
        <v>3009</v>
      </c>
    </row>
    <row r="60" spans="1:14">
      <c r="A60" s="184" t="s">
        <v>299</v>
      </c>
      <c r="B60" s="184" t="s">
        <v>3352</v>
      </c>
      <c r="C60" s="184">
        <v>2102150387</v>
      </c>
      <c r="D60" s="184" t="s">
        <v>3000</v>
      </c>
      <c r="E60" s="184" t="s">
        <v>3353</v>
      </c>
      <c r="F60" s="184" t="s">
        <v>3354</v>
      </c>
      <c r="G60" s="184" t="s">
        <v>3355</v>
      </c>
      <c r="H60" s="185" t="s">
        <v>3004</v>
      </c>
      <c r="I60" s="184" t="s">
        <v>3356</v>
      </c>
      <c r="J60" s="210" t="s">
        <v>3357</v>
      </c>
      <c r="K60" s="218" t="s">
        <v>3007</v>
      </c>
      <c r="L60" s="218" t="s">
        <v>3008</v>
      </c>
      <c r="M60" s="216" t="s">
        <v>3009</v>
      </c>
    </row>
    <row r="61" spans="1:14">
      <c r="A61" s="184" t="s">
        <v>302</v>
      </c>
      <c r="B61" s="184" t="s">
        <v>3358</v>
      </c>
      <c r="C61" s="184">
        <v>2201121358</v>
      </c>
      <c r="D61" s="184" t="s">
        <v>3000</v>
      </c>
      <c r="E61" s="184" t="s">
        <v>3359</v>
      </c>
      <c r="F61" s="184" t="s">
        <v>3360</v>
      </c>
      <c r="G61" s="184" t="s">
        <v>3361</v>
      </c>
      <c r="H61" s="185" t="s">
        <v>3004</v>
      </c>
      <c r="I61" s="184" t="s">
        <v>3362</v>
      </c>
      <c r="J61" s="210" t="s">
        <v>3363</v>
      </c>
      <c r="K61" s="218" t="s">
        <v>3007</v>
      </c>
      <c r="L61" s="218" t="s">
        <v>3008</v>
      </c>
      <c r="M61" s="216" t="s">
        <v>3009</v>
      </c>
    </row>
    <row r="62" spans="1:14">
      <c r="A62" s="184" t="s">
        <v>305</v>
      </c>
      <c r="B62" s="184" t="s">
        <v>3364</v>
      </c>
      <c r="C62" s="184">
        <v>2205180059</v>
      </c>
      <c r="D62" s="184" t="s">
        <v>3000</v>
      </c>
      <c r="E62" s="184" t="s">
        <v>3365</v>
      </c>
      <c r="F62" s="184" t="s">
        <v>3366</v>
      </c>
      <c r="G62" s="184" t="s">
        <v>3367</v>
      </c>
      <c r="H62" s="185" t="s">
        <v>3004</v>
      </c>
      <c r="I62" s="184" t="s">
        <v>3368</v>
      </c>
      <c r="J62" s="210" t="s">
        <v>3369</v>
      </c>
      <c r="K62" s="218" t="s">
        <v>3007</v>
      </c>
      <c r="L62" s="218" t="s">
        <v>3008</v>
      </c>
      <c r="M62" s="216" t="s">
        <v>3009</v>
      </c>
    </row>
    <row r="63" spans="1:14">
      <c r="A63" s="184" t="s">
        <v>309</v>
      </c>
      <c r="B63" s="184" t="s">
        <v>3370</v>
      </c>
      <c r="C63" s="184">
        <v>2205180287</v>
      </c>
      <c r="D63" s="184" t="s">
        <v>3000</v>
      </c>
      <c r="E63" s="184" t="s">
        <v>3371</v>
      </c>
      <c r="F63" s="184" t="s">
        <v>3372</v>
      </c>
      <c r="G63" s="184" t="s">
        <v>3373</v>
      </c>
      <c r="H63" s="185" t="s">
        <v>3004</v>
      </c>
      <c r="I63" s="184" t="s">
        <v>3374</v>
      </c>
      <c r="J63" s="210" t="s">
        <v>3375</v>
      </c>
      <c r="K63" s="218" t="s">
        <v>3007</v>
      </c>
      <c r="L63" s="218" t="s">
        <v>3008</v>
      </c>
      <c r="M63" s="216" t="s">
        <v>3009</v>
      </c>
    </row>
    <row r="64" spans="1:14">
      <c r="A64" s="184" t="s">
        <v>312</v>
      </c>
      <c r="B64" s="184" t="s">
        <v>3376</v>
      </c>
      <c r="C64" s="184">
        <v>2201121369</v>
      </c>
      <c r="D64" s="184" t="s">
        <v>3000</v>
      </c>
      <c r="E64" s="184" t="s">
        <v>3377</v>
      </c>
      <c r="F64" s="184" t="s">
        <v>3378</v>
      </c>
      <c r="G64" s="184" t="s">
        <v>3379</v>
      </c>
      <c r="H64" s="185" t="s">
        <v>3004</v>
      </c>
      <c r="I64" s="184" t="s">
        <v>3380</v>
      </c>
      <c r="J64" s="210" t="s">
        <v>3381</v>
      </c>
      <c r="K64" s="218" t="s">
        <v>3007</v>
      </c>
      <c r="L64" s="218" t="s">
        <v>3008</v>
      </c>
      <c r="M64" s="216" t="s">
        <v>3009</v>
      </c>
    </row>
    <row r="65" spans="1:13">
      <c r="A65" s="184" t="s">
        <v>315</v>
      </c>
      <c r="B65" s="184" t="s">
        <v>3382</v>
      </c>
      <c r="C65" s="184">
        <v>2201121474</v>
      </c>
      <c r="D65" s="184" t="s">
        <v>3000</v>
      </c>
      <c r="E65" s="184" t="s">
        <v>3383</v>
      </c>
      <c r="F65" s="184" t="s">
        <v>3384</v>
      </c>
      <c r="G65" s="184" t="s">
        <v>3385</v>
      </c>
      <c r="H65" s="185" t="s">
        <v>3004</v>
      </c>
      <c r="I65" s="184" t="s">
        <v>3386</v>
      </c>
      <c r="J65" s="210" t="s">
        <v>3387</v>
      </c>
      <c r="K65" s="218" t="s">
        <v>3007</v>
      </c>
      <c r="L65" s="218" t="s">
        <v>3008</v>
      </c>
      <c r="M65" s="216" t="s">
        <v>3009</v>
      </c>
    </row>
    <row r="66" spans="1:13">
      <c r="A66" s="184" t="s">
        <v>318</v>
      </c>
      <c r="B66" s="184" t="s">
        <v>3388</v>
      </c>
      <c r="C66" s="184">
        <v>2201121032</v>
      </c>
      <c r="D66" s="184" t="s">
        <v>3000</v>
      </c>
      <c r="E66" s="184" t="s">
        <v>3389</v>
      </c>
      <c r="F66" s="184" t="s">
        <v>3390</v>
      </c>
      <c r="G66" s="184" t="s">
        <v>3391</v>
      </c>
      <c r="H66" s="185" t="s">
        <v>3004</v>
      </c>
      <c r="I66" s="184" t="s">
        <v>3392</v>
      </c>
      <c r="J66" s="210" t="s">
        <v>3393</v>
      </c>
      <c r="K66" s="218" t="s">
        <v>3007</v>
      </c>
      <c r="L66" s="218" t="s">
        <v>3008</v>
      </c>
      <c r="M66" s="216" t="s">
        <v>3009</v>
      </c>
    </row>
    <row r="67" spans="1:13">
      <c r="A67" s="184" t="s">
        <v>323</v>
      </c>
      <c r="B67" s="184" t="s">
        <v>3394</v>
      </c>
      <c r="C67" s="184">
        <v>2201121376</v>
      </c>
      <c r="D67" s="184" t="s">
        <v>3000</v>
      </c>
      <c r="E67" s="184" t="s">
        <v>3395</v>
      </c>
      <c r="F67" s="184" t="s">
        <v>3396</v>
      </c>
      <c r="G67" s="184" t="s">
        <v>3397</v>
      </c>
      <c r="H67" s="185" t="s">
        <v>3004</v>
      </c>
      <c r="I67" s="184" t="s">
        <v>3398</v>
      </c>
      <c r="J67" s="210" t="s">
        <v>3399</v>
      </c>
      <c r="K67" s="218" t="s">
        <v>3007</v>
      </c>
      <c r="L67" s="218" t="s">
        <v>3008</v>
      </c>
      <c r="M67" s="216" t="s">
        <v>3009</v>
      </c>
    </row>
    <row r="68" spans="1:13">
      <c r="A68" s="184" t="s">
        <v>326</v>
      </c>
      <c r="B68" s="184" t="s">
        <v>3400</v>
      </c>
      <c r="C68" s="184">
        <v>2201121473</v>
      </c>
      <c r="D68" s="184" t="s">
        <v>3000</v>
      </c>
      <c r="E68" s="184" t="s">
        <v>3401</v>
      </c>
      <c r="F68" s="184" t="s">
        <v>3402</v>
      </c>
      <c r="G68" s="184" t="s">
        <v>3403</v>
      </c>
      <c r="H68" s="185" t="s">
        <v>3004</v>
      </c>
      <c r="I68" s="184" t="s">
        <v>3404</v>
      </c>
      <c r="J68" s="210" t="s">
        <v>3405</v>
      </c>
      <c r="K68" s="218" t="s">
        <v>3007</v>
      </c>
      <c r="L68" s="218" t="s">
        <v>3008</v>
      </c>
      <c r="M68" s="216" t="s">
        <v>3009</v>
      </c>
    </row>
    <row r="69" spans="1:13">
      <c r="A69" s="184" t="s">
        <v>329</v>
      </c>
      <c r="B69" s="184" t="s">
        <v>3406</v>
      </c>
      <c r="C69" s="184">
        <v>2201121165</v>
      </c>
      <c r="D69" s="184" t="s">
        <v>3000</v>
      </c>
      <c r="E69" s="184" t="s">
        <v>3407</v>
      </c>
      <c r="F69" s="184" t="s">
        <v>3408</v>
      </c>
      <c r="G69" s="184" t="s">
        <v>3409</v>
      </c>
      <c r="H69" s="185" t="s">
        <v>3004</v>
      </c>
      <c r="I69" s="184" t="s">
        <v>3410</v>
      </c>
      <c r="J69" s="210" t="s">
        <v>3411</v>
      </c>
      <c r="K69" s="218" t="s">
        <v>3007</v>
      </c>
      <c r="L69" s="218" t="s">
        <v>3008</v>
      </c>
      <c r="M69" s="216" t="s">
        <v>3009</v>
      </c>
    </row>
    <row r="70" spans="1:13">
      <c r="A70" s="184" t="s">
        <v>332</v>
      </c>
      <c r="B70" s="184" t="s">
        <v>3412</v>
      </c>
      <c r="C70" s="184">
        <v>2201121390</v>
      </c>
      <c r="D70" s="184" t="s">
        <v>3000</v>
      </c>
      <c r="E70" s="184" t="s">
        <v>3413</v>
      </c>
      <c r="F70" s="184" t="s">
        <v>3414</v>
      </c>
      <c r="G70" s="184" t="s">
        <v>3415</v>
      </c>
      <c r="H70" s="185" t="s">
        <v>3004</v>
      </c>
      <c r="I70" s="184" t="s">
        <v>3416</v>
      </c>
      <c r="J70" s="210" t="s">
        <v>3417</v>
      </c>
      <c r="K70" s="218" t="s">
        <v>3007</v>
      </c>
      <c r="L70" s="218" t="s">
        <v>3008</v>
      </c>
      <c r="M70" s="216" t="s">
        <v>3009</v>
      </c>
    </row>
    <row r="71" spans="1:13">
      <c r="A71" s="184" t="s">
        <v>335</v>
      </c>
      <c r="B71" s="184" t="s">
        <v>3418</v>
      </c>
      <c r="C71" s="184">
        <v>2201121372</v>
      </c>
      <c r="D71" s="184" t="s">
        <v>3000</v>
      </c>
      <c r="E71" s="184" t="s">
        <v>3419</v>
      </c>
      <c r="F71" s="184" t="s">
        <v>3420</v>
      </c>
      <c r="G71" s="184" t="s">
        <v>3421</v>
      </c>
      <c r="H71" s="185" t="s">
        <v>3004</v>
      </c>
      <c r="I71" s="184" t="s">
        <v>3422</v>
      </c>
      <c r="J71" s="210" t="s">
        <v>3423</v>
      </c>
      <c r="K71" s="218" t="s">
        <v>3007</v>
      </c>
      <c r="L71" s="218" t="s">
        <v>3008</v>
      </c>
      <c r="M71" s="216" t="s">
        <v>3009</v>
      </c>
    </row>
    <row r="72" spans="1:13">
      <c r="A72" s="184" t="s">
        <v>338</v>
      </c>
      <c r="B72" s="184" t="s">
        <v>3424</v>
      </c>
      <c r="C72" s="184">
        <v>2109200060</v>
      </c>
      <c r="D72" s="184" t="s">
        <v>3000</v>
      </c>
      <c r="E72" s="184" t="s">
        <v>3425</v>
      </c>
      <c r="F72" s="184" t="s">
        <v>3426</v>
      </c>
      <c r="G72" s="184" t="s">
        <v>3427</v>
      </c>
      <c r="H72" s="185" t="s">
        <v>3004</v>
      </c>
      <c r="I72" s="184" t="s">
        <v>3428</v>
      </c>
      <c r="J72" s="210" t="s">
        <v>3429</v>
      </c>
      <c r="K72" s="218" t="s">
        <v>3007</v>
      </c>
      <c r="L72" s="218" t="s">
        <v>3008</v>
      </c>
      <c r="M72" s="216" t="s">
        <v>3009</v>
      </c>
    </row>
    <row r="73" spans="1:13" s="242" customFormat="1">
      <c r="A73" s="238" t="s">
        <v>341</v>
      </c>
      <c r="B73" s="238" t="s">
        <v>3430</v>
      </c>
      <c r="C73" s="238">
        <v>2109200069</v>
      </c>
      <c r="D73" s="238" t="s">
        <v>3000</v>
      </c>
      <c r="E73" s="238" t="s">
        <v>3431</v>
      </c>
      <c r="F73" s="238" t="s">
        <v>3432</v>
      </c>
      <c r="G73" s="238" t="s">
        <v>3433</v>
      </c>
      <c r="H73" s="239" t="s">
        <v>3004</v>
      </c>
      <c r="I73" s="238" t="s">
        <v>3434</v>
      </c>
      <c r="J73" s="240" t="s">
        <v>3435</v>
      </c>
      <c r="K73" s="250" t="s">
        <v>3007</v>
      </c>
      <c r="L73" s="250" t="s">
        <v>3008</v>
      </c>
      <c r="M73" s="241" t="s">
        <v>3009</v>
      </c>
    </row>
    <row r="74" spans="1:13">
      <c r="A74" s="184" t="s">
        <v>344</v>
      </c>
      <c r="B74" s="184" t="s">
        <v>3436</v>
      </c>
      <c r="C74" s="184">
        <v>2201121035</v>
      </c>
      <c r="D74" s="184" t="s">
        <v>3000</v>
      </c>
      <c r="E74" s="184" t="s">
        <v>3437</v>
      </c>
      <c r="F74" s="184" t="s">
        <v>3438</v>
      </c>
      <c r="G74" s="184" t="s">
        <v>3439</v>
      </c>
      <c r="H74" s="185" t="s">
        <v>3004</v>
      </c>
      <c r="I74" s="184" t="s">
        <v>3440</v>
      </c>
      <c r="J74" s="210" t="s">
        <v>3441</v>
      </c>
      <c r="K74" s="218" t="s">
        <v>3007</v>
      </c>
      <c r="L74" s="218" t="s">
        <v>3008</v>
      </c>
      <c r="M74" s="216" t="s">
        <v>3009</v>
      </c>
    </row>
    <row r="75" spans="1:13">
      <c r="A75" s="184" t="s">
        <v>347</v>
      </c>
      <c r="B75" s="184" t="s">
        <v>3442</v>
      </c>
      <c r="C75" s="184">
        <v>2205180093</v>
      </c>
      <c r="D75" s="184" t="s">
        <v>3000</v>
      </c>
      <c r="E75" s="184" t="s">
        <v>3443</v>
      </c>
      <c r="F75" s="184" t="s">
        <v>3444</v>
      </c>
      <c r="G75" s="184" t="s">
        <v>3445</v>
      </c>
      <c r="H75" s="185" t="s">
        <v>3004</v>
      </c>
      <c r="I75" s="184" t="s">
        <v>3446</v>
      </c>
      <c r="J75" s="210" t="s">
        <v>3447</v>
      </c>
      <c r="K75" s="218" t="s">
        <v>3007</v>
      </c>
      <c r="L75" s="218" t="s">
        <v>3008</v>
      </c>
      <c r="M75" s="216" t="s">
        <v>3009</v>
      </c>
    </row>
    <row r="76" spans="1:13">
      <c r="A76" s="184" t="s">
        <v>350</v>
      </c>
      <c r="B76" s="184" t="s">
        <v>3448</v>
      </c>
      <c r="C76" s="184">
        <v>2201121486</v>
      </c>
      <c r="D76" s="184" t="s">
        <v>3000</v>
      </c>
      <c r="E76" s="184" t="s">
        <v>3449</v>
      </c>
      <c r="F76" s="184" t="s">
        <v>3450</v>
      </c>
      <c r="G76" s="184" t="s">
        <v>3451</v>
      </c>
      <c r="H76" s="185" t="s">
        <v>3004</v>
      </c>
      <c r="I76" s="184" t="s">
        <v>3452</v>
      </c>
      <c r="J76" s="210" t="s">
        <v>3453</v>
      </c>
      <c r="K76" s="218" t="s">
        <v>3007</v>
      </c>
      <c r="L76" s="218" t="s">
        <v>3008</v>
      </c>
      <c r="M76" s="216" t="s">
        <v>3009</v>
      </c>
    </row>
    <row r="77" spans="1:13">
      <c r="A77" s="184" t="s">
        <v>354</v>
      </c>
      <c r="B77" s="184" t="s">
        <v>3454</v>
      </c>
      <c r="C77" s="184">
        <v>2205180064</v>
      </c>
      <c r="D77" s="184" t="s">
        <v>3000</v>
      </c>
      <c r="E77" s="184" t="s">
        <v>3455</v>
      </c>
      <c r="F77" s="184" t="s">
        <v>3456</v>
      </c>
      <c r="G77" s="184" t="s">
        <v>3457</v>
      </c>
      <c r="H77" s="185" t="s">
        <v>3004</v>
      </c>
      <c r="I77" s="184" t="s">
        <v>3458</v>
      </c>
      <c r="J77" s="210" t="s">
        <v>3459</v>
      </c>
      <c r="K77" s="218" t="s">
        <v>3007</v>
      </c>
      <c r="L77" s="218" t="s">
        <v>3008</v>
      </c>
      <c r="M77" s="216" t="s">
        <v>3009</v>
      </c>
    </row>
    <row r="78" spans="1:13">
      <c r="A78" s="184" t="s">
        <v>357</v>
      </c>
      <c r="B78" s="184" t="s">
        <v>3460</v>
      </c>
      <c r="C78" s="184">
        <v>2205180289</v>
      </c>
      <c r="D78" s="184" t="s">
        <v>3000</v>
      </c>
      <c r="E78" s="184" t="s">
        <v>3461</v>
      </c>
      <c r="F78" s="184" t="s">
        <v>3462</v>
      </c>
      <c r="G78" s="184" t="s">
        <v>3463</v>
      </c>
      <c r="H78" s="185" t="s">
        <v>3004</v>
      </c>
      <c r="I78" s="184" t="s">
        <v>3464</v>
      </c>
      <c r="J78" s="210" t="s">
        <v>3465</v>
      </c>
      <c r="K78" s="218" t="s">
        <v>3007</v>
      </c>
      <c r="L78" s="218" t="s">
        <v>3008</v>
      </c>
      <c r="M78" s="216" t="s">
        <v>3009</v>
      </c>
    </row>
    <row r="79" spans="1:13">
      <c r="A79" s="184" t="s">
        <v>360</v>
      </c>
      <c r="B79" s="184" t="s">
        <v>3466</v>
      </c>
      <c r="C79" s="184">
        <v>2201121370</v>
      </c>
      <c r="D79" s="184" t="s">
        <v>3000</v>
      </c>
      <c r="E79" s="184" t="s">
        <v>3467</v>
      </c>
      <c r="F79" s="184" t="s">
        <v>3468</v>
      </c>
      <c r="G79" s="184" t="s">
        <v>3469</v>
      </c>
      <c r="H79" s="185" t="s">
        <v>3004</v>
      </c>
      <c r="I79" s="184" t="s">
        <v>3470</v>
      </c>
      <c r="J79" s="210" t="s">
        <v>3471</v>
      </c>
      <c r="K79" s="218" t="s">
        <v>3007</v>
      </c>
      <c r="L79" s="218" t="s">
        <v>3008</v>
      </c>
      <c r="M79" s="216" t="s">
        <v>3009</v>
      </c>
    </row>
    <row r="80" spans="1:13">
      <c r="A80" s="184" t="s">
        <v>363</v>
      </c>
      <c r="B80" s="184" t="s">
        <v>3472</v>
      </c>
      <c r="C80" s="184">
        <v>2201121212</v>
      </c>
      <c r="D80" s="184" t="s">
        <v>3000</v>
      </c>
      <c r="E80" s="184" t="s">
        <v>3473</v>
      </c>
      <c r="F80" s="184" t="s">
        <v>3474</v>
      </c>
      <c r="G80" s="184" t="s">
        <v>3475</v>
      </c>
      <c r="H80" s="185" t="s">
        <v>3004</v>
      </c>
      <c r="I80" s="184" t="s">
        <v>3476</v>
      </c>
      <c r="J80" s="210" t="s">
        <v>3477</v>
      </c>
      <c r="K80" s="218" t="s">
        <v>3007</v>
      </c>
      <c r="L80" s="218" t="s">
        <v>3008</v>
      </c>
      <c r="M80" s="216" t="s">
        <v>3009</v>
      </c>
    </row>
    <row r="81" spans="1:14">
      <c r="A81" s="184" t="s">
        <v>366</v>
      </c>
      <c r="B81" s="184" t="s">
        <v>3478</v>
      </c>
      <c r="C81" s="184">
        <v>2205180222</v>
      </c>
      <c r="D81" s="184" t="s">
        <v>3000</v>
      </c>
      <c r="E81" s="184" t="s">
        <v>3479</v>
      </c>
      <c r="F81" s="184" t="s">
        <v>3480</v>
      </c>
      <c r="G81" s="184" t="s">
        <v>3481</v>
      </c>
      <c r="H81" s="185" t="s">
        <v>3004</v>
      </c>
      <c r="I81" s="184" t="s">
        <v>3482</v>
      </c>
      <c r="J81" s="210" t="s">
        <v>3483</v>
      </c>
      <c r="K81" s="218" t="s">
        <v>3007</v>
      </c>
      <c r="L81" s="218" t="s">
        <v>3008</v>
      </c>
      <c r="M81" s="216" t="s">
        <v>3009</v>
      </c>
    </row>
    <row r="82" spans="1:14">
      <c r="A82" s="184" t="s">
        <v>369</v>
      </c>
      <c r="B82" s="184" t="s">
        <v>3484</v>
      </c>
      <c r="C82" s="184">
        <v>2201121096</v>
      </c>
      <c r="D82" s="184" t="s">
        <v>3000</v>
      </c>
      <c r="E82" s="184" t="s">
        <v>3485</v>
      </c>
      <c r="F82" s="184" t="s">
        <v>3486</v>
      </c>
      <c r="G82" s="184" t="s">
        <v>3487</v>
      </c>
      <c r="H82" s="185" t="s">
        <v>3004</v>
      </c>
      <c r="I82" s="184" t="s">
        <v>3488</v>
      </c>
      <c r="J82" s="210" t="s">
        <v>3489</v>
      </c>
      <c r="K82" s="218" t="s">
        <v>3007</v>
      </c>
      <c r="L82" s="218" t="s">
        <v>3008</v>
      </c>
      <c r="M82" s="216" t="s">
        <v>3009</v>
      </c>
    </row>
    <row r="83" spans="1:14">
      <c r="A83" s="184" t="s">
        <v>372</v>
      </c>
      <c r="B83" s="184" t="s">
        <v>3490</v>
      </c>
      <c r="C83" s="184">
        <v>2103100408</v>
      </c>
      <c r="D83" s="184" t="s">
        <v>3000</v>
      </c>
      <c r="E83" s="184" t="s">
        <v>3491</v>
      </c>
      <c r="F83" s="184" t="s">
        <v>3492</v>
      </c>
      <c r="G83" s="184" t="s">
        <v>3493</v>
      </c>
      <c r="H83" s="185" t="s">
        <v>3004</v>
      </c>
      <c r="I83" s="184" t="s">
        <v>3494</v>
      </c>
      <c r="J83" s="210" t="s">
        <v>3495</v>
      </c>
      <c r="K83" s="218" t="s">
        <v>3007</v>
      </c>
      <c r="L83" s="218" t="s">
        <v>3008</v>
      </c>
      <c r="M83" s="216" t="s">
        <v>3009</v>
      </c>
    </row>
    <row r="84" spans="1:14">
      <c r="A84" s="184" t="s">
        <v>375</v>
      </c>
      <c r="B84" s="184" t="s">
        <v>3496</v>
      </c>
      <c r="C84" s="184">
        <v>2201121452</v>
      </c>
      <c r="D84" s="184" t="s">
        <v>3000</v>
      </c>
      <c r="E84" s="184" t="s">
        <v>3497</v>
      </c>
      <c r="F84" s="184" t="s">
        <v>3498</v>
      </c>
      <c r="G84" s="184" t="s">
        <v>3499</v>
      </c>
      <c r="H84" s="185" t="s">
        <v>3004</v>
      </c>
      <c r="I84" s="184" t="s">
        <v>3500</v>
      </c>
      <c r="J84" s="210" t="s">
        <v>3501</v>
      </c>
      <c r="K84" s="218" t="s">
        <v>3007</v>
      </c>
      <c r="L84" s="218" t="s">
        <v>3008</v>
      </c>
      <c r="M84" s="216" t="s">
        <v>3009</v>
      </c>
    </row>
    <row r="85" spans="1:14" s="242" customFormat="1">
      <c r="A85" s="238" t="s">
        <v>379</v>
      </c>
      <c r="B85" s="238" t="s">
        <v>3502</v>
      </c>
      <c r="C85" s="238">
        <v>2201121080</v>
      </c>
      <c r="D85" s="238" t="s">
        <v>3000</v>
      </c>
      <c r="E85" s="238" t="s">
        <v>3503</v>
      </c>
      <c r="F85" s="238" t="s">
        <v>3504</v>
      </c>
      <c r="G85" s="238" t="s">
        <v>3505</v>
      </c>
      <c r="H85" s="239" t="s">
        <v>3004</v>
      </c>
      <c r="I85" s="238" t="s">
        <v>3506</v>
      </c>
      <c r="J85" s="240" t="s">
        <v>3507</v>
      </c>
      <c r="K85" s="250" t="s">
        <v>3007</v>
      </c>
      <c r="L85" s="250" t="s">
        <v>3008</v>
      </c>
      <c r="M85" s="241" t="s">
        <v>3009</v>
      </c>
    </row>
    <row r="86" spans="1:14">
      <c r="A86" s="184" t="s">
        <v>382</v>
      </c>
      <c r="B86" s="184" t="s">
        <v>3508</v>
      </c>
      <c r="C86" s="184">
        <v>2201121024</v>
      </c>
      <c r="D86" s="184" t="s">
        <v>3000</v>
      </c>
      <c r="E86" s="184" t="s">
        <v>3509</v>
      </c>
      <c r="F86" s="184" t="s">
        <v>3510</v>
      </c>
      <c r="G86" s="184" t="s">
        <v>3511</v>
      </c>
      <c r="H86" s="185" t="s">
        <v>3004</v>
      </c>
      <c r="I86" s="184" t="s">
        <v>3512</v>
      </c>
      <c r="J86" s="210" t="s">
        <v>3513</v>
      </c>
      <c r="K86" s="218" t="s">
        <v>3007</v>
      </c>
      <c r="L86" s="218" t="s">
        <v>3008</v>
      </c>
      <c r="M86" s="216" t="s">
        <v>3009</v>
      </c>
    </row>
    <row r="87" spans="1:14">
      <c r="A87" s="184" t="s">
        <v>388</v>
      </c>
      <c r="B87" s="184" t="s">
        <v>3514</v>
      </c>
      <c r="C87" s="184">
        <v>2502170127</v>
      </c>
      <c r="D87" s="184" t="s">
        <v>3017</v>
      </c>
      <c r="E87" s="184" t="s">
        <v>3515</v>
      </c>
      <c r="F87" s="184" t="s">
        <v>3516</v>
      </c>
      <c r="G87" s="184" t="s">
        <v>3517</v>
      </c>
      <c r="H87" s="185" t="s">
        <v>3004</v>
      </c>
      <c r="I87" s="184" t="s">
        <v>3518</v>
      </c>
      <c r="J87" s="210" t="s">
        <v>3519</v>
      </c>
      <c r="K87" s="218" t="s">
        <v>3007</v>
      </c>
      <c r="L87" s="218" t="s">
        <v>3008</v>
      </c>
      <c r="M87" s="216" t="s">
        <v>3009</v>
      </c>
    </row>
    <row r="88" spans="1:14" s="230" customFormat="1">
      <c r="A88" s="225" t="s">
        <v>392</v>
      </c>
      <c r="B88" s="225" t="s">
        <v>3520</v>
      </c>
      <c r="C88" s="225">
        <v>2310230149</v>
      </c>
      <c r="D88" s="225" t="s">
        <v>3017</v>
      </c>
      <c r="E88" s="225" t="s">
        <v>3521</v>
      </c>
      <c r="F88" s="225" t="s">
        <v>3522</v>
      </c>
      <c r="G88" s="225" t="s">
        <v>3523</v>
      </c>
      <c r="H88" s="226" t="s">
        <v>3004</v>
      </c>
      <c r="I88" s="225" t="s">
        <v>3524</v>
      </c>
      <c r="J88" s="227" t="s">
        <v>3525</v>
      </c>
      <c r="K88" s="228" t="s">
        <v>3007</v>
      </c>
      <c r="L88" s="228" t="s">
        <v>3008</v>
      </c>
      <c r="M88" s="229" t="s">
        <v>3060</v>
      </c>
      <c r="N88" s="230" t="s">
        <v>3526</v>
      </c>
    </row>
    <row r="89" spans="1:14">
      <c r="A89" s="184" t="s">
        <v>396</v>
      </c>
      <c r="B89" s="184" t="s">
        <v>3527</v>
      </c>
      <c r="C89" s="184">
        <v>2502170128</v>
      </c>
      <c r="D89" s="184" t="s">
        <v>3017</v>
      </c>
      <c r="E89" s="184" t="s">
        <v>3528</v>
      </c>
      <c r="F89" s="184" t="s">
        <v>3529</v>
      </c>
      <c r="G89" s="184" t="s">
        <v>3530</v>
      </c>
      <c r="H89" s="185" t="s">
        <v>3004</v>
      </c>
      <c r="I89" s="184" t="s">
        <v>3531</v>
      </c>
      <c r="J89" s="210" t="s">
        <v>3532</v>
      </c>
      <c r="K89" s="218" t="s">
        <v>3007</v>
      </c>
      <c r="L89" s="218" t="s">
        <v>3008</v>
      </c>
      <c r="M89" s="216" t="s">
        <v>3009</v>
      </c>
    </row>
    <row r="90" spans="1:14" s="242" customFormat="1">
      <c r="A90" s="243" t="s">
        <v>400</v>
      </c>
      <c r="B90" s="243" t="s">
        <v>3533</v>
      </c>
      <c r="C90" s="243">
        <v>2502170051</v>
      </c>
      <c r="D90" s="243" t="s">
        <v>3017</v>
      </c>
      <c r="E90" s="243" t="s">
        <v>3534</v>
      </c>
      <c r="F90" s="243" t="s">
        <v>3535</v>
      </c>
      <c r="G90" s="243" t="s">
        <v>3536</v>
      </c>
      <c r="H90" s="244" t="s">
        <v>3004</v>
      </c>
      <c r="I90" s="243" t="s">
        <v>3537</v>
      </c>
      <c r="J90" s="245" t="s">
        <v>3538</v>
      </c>
      <c r="K90" s="249" t="s">
        <v>3007</v>
      </c>
      <c r="L90" s="249" t="s">
        <v>3008</v>
      </c>
      <c r="M90" s="247" t="s">
        <v>3009</v>
      </c>
      <c r="N90" s="248"/>
    </row>
    <row r="91" spans="1:14">
      <c r="A91" s="184" t="s">
        <v>404</v>
      </c>
      <c r="B91" s="184" t="s">
        <v>3539</v>
      </c>
      <c r="C91" s="184">
        <v>2502170126</v>
      </c>
      <c r="D91" s="184" t="s">
        <v>3017</v>
      </c>
      <c r="E91" s="184" t="s">
        <v>3540</v>
      </c>
      <c r="F91" s="184" t="s">
        <v>3541</v>
      </c>
      <c r="G91" s="184" t="s">
        <v>3542</v>
      </c>
      <c r="H91" s="185" t="s">
        <v>3004</v>
      </c>
      <c r="I91" s="184" t="s">
        <v>3543</v>
      </c>
      <c r="J91" s="210" t="s">
        <v>3544</v>
      </c>
      <c r="K91" s="218" t="s">
        <v>3007</v>
      </c>
      <c r="L91" s="218" t="s">
        <v>3008</v>
      </c>
      <c r="M91" s="216" t="s">
        <v>3009</v>
      </c>
    </row>
    <row r="92" spans="1:14">
      <c r="A92" s="184" t="s">
        <v>408</v>
      </c>
      <c r="B92" s="184" t="s">
        <v>3545</v>
      </c>
      <c r="C92" s="184">
        <v>2405070333</v>
      </c>
      <c r="D92" s="184" t="s">
        <v>3017</v>
      </c>
      <c r="E92" s="184" t="s">
        <v>3546</v>
      </c>
      <c r="F92" s="184" t="s">
        <v>3547</v>
      </c>
      <c r="G92" s="184" t="s">
        <v>3548</v>
      </c>
      <c r="H92" s="185" t="s">
        <v>3004</v>
      </c>
      <c r="I92" s="184" t="s">
        <v>3549</v>
      </c>
      <c r="J92" s="210" t="s">
        <v>3550</v>
      </c>
      <c r="K92" s="218" t="s">
        <v>3007</v>
      </c>
      <c r="L92" s="218" t="s">
        <v>3008</v>
      </c>
      <c r="M92" s="216" t="s">
        <v>3009</v>
      </c>
    </row>
    <row r="93" spans="1:14">
      <c r="A93" s="184" t="s">
        <v>412</v>
      </c>
      <c r="B93" s="184" t="s">
        <v>3551</v>
      </c>
      <c r="C93" s="184">
        <v>2310230192</v>
      </c>
      <c r="D93" s="184" t="s">
        <v>3017</v>
      </c>
      <c r="E93" s="184" t="s">
        <v>3552</v>
      </c>
      <c r="F93" s="184" t="s">
        <v>3553</v>
      </c>
      <c r="G93" s="184" t="s">
        <v>3554</v>
      </c>
      <c r="H93" s="185" t="s">
        <v>3004</v>
      </c>
      <c r="I93" s="184" t="s">
        <v>3555</v>
      </c>
      <c r="J93" s="210" t="s">
        <v>3556</v>
      </c>
      <c r="K93" s="218" t="s">
        <v>3007</v>
      </c>
      <c r="L93" s="218" t="s">
        <v>3008</v>
      </c>
      <c r="M93" s="216" t="s">
        <v>3009</v>
      </c>
    </row>
    <row r="94" spans="1:14">
      <c r="A94" s="184" t="s">
        <v>416</v>
      </c>
      <c r="B94" s="184" t="s">
        <v>3557</v>
      </c>
      <c r="C94" s="184">
        <v>2405070438</v>
      </c>
      <c r="D94" s="184" t="s">
        <v>3017</v>
      </c>
      <c r="E94" s="184" t="s">
        <v>3558</v>
      </c>
      <c r="F94" s="184" t="s">
        <v>3559</v>
      </c>
      <c r="G94" s="184" t="s">
        <v>3560</v>
      </c>
      <c r="H94" s="185" t="s">
        <v>3004</v>
      </c>
      <c r="I94" s="184" t="s">
        <v>3561</v>
      </c>
      <c r="J94" s="210" t="s">
        <v>3562</v>
      </c>
      <c r="K94" s="218" t="s">
        <v>3007</v>
      </c>
      <c r="L94" s="218" t="s">
        <v>3008</v>
      </c>
      <c r="M94" s="216" t="s">
        <v>3009</v>
      </c>
    </row>
    <row r="95" spans="1:14" s="242" customFormat="1">
      <c r="A95" s="238" t="s">
        <v>420</v>
      </c>
      <c r="B95" s="238" t="s">
        <v>3563</v>
      </c>
      <c r="C95" s="238">
        <v>2405070444</v>
      </c>
      <c r="D95" s="238" t="s">
        <v>3017</v>
      </c>
      <c r="E95" s="238" t="s">
        <v>3564</v>
      </c>
      <c r="F95" s="238" t="s">
        <v>3565</v>
      </c>
      <c r="G95" s="238" t="s">
        <v>3566</v>
      </c>
      <c r="H95" s="239" t="s">
        <v>3004</v>
      </c>
      <c r="I95" s="238" t="s">
        <v>3567</v>
      </c>
      <c r="J95" s="240" t="s">
        <v>3568</v>
      </c>
      <c r="K95" s="250" t="s">
        <v>3007</v>
      </c>
      <c r="L95" s="250" t="s">
        <v>3008</v>
      </c>
      <c r="M95" s="241" t="s">
        <v>3009</v>
      </c>
    </row>
    <row r="96" spans="1:14" hidden="1">
      <c r="A96" s="232" t="s">
        <v>425</v>
      </c>
      <c r="B96" s="232"/>
      <c r="C96" s="232"/>
      <c r="D96" s="232"/>
      <c r="E96" s="232"/>
      <c r="F96" s="232"/>
      <c r="G96" s="232"/>
      <c r="H96" s="233" t="s">
        <v>3004</v>
      </c>
      <c r="I96" s="232"/>
      <c r="J96" s="234" t="s">
        <v>3569</v>
      </c>
      <c r="K96" s="235"/>
      <c r="L96" s="235"/>
      <c r="M96" s="235"/>
      <c r="N96" s="235"/>
    </row>
    <row r="97" spans="1:14">
      <c r="A97" s="184" t="s">
        <v>433</v>
      </c>
      <c r="B97" s="184" t="s">
        <v>428</v>
      </c>
      <c r="C97" s="184">
        <v>2205180066</v>
      </c>
      <c r="D97" s="184" t="s">
        <v>3000</v>
      </c>
      <c r="E97" s="184" t="s">
        <v>3570</v>
      </c>
      <c r="F97" s="184" t="s">
        <v>3571</v>
      </c>
      <c r="G97" s="184" t="s">
        <v>3572</v>
      </c>
      <c r="H97" s="184" t="s">
        <v>3004</v>
      </c>
      <c r="I97" s="184" t="s">
        <v>3573</v>
      </c>
      <c r="J97" s="210" t="s">
        <v>3574</v>
      </c>
      <c r="K97" s="218" t="s">
        <v>3007</v>
      </c>
      <c r="L97" s="218" t="s">
        <v>3008</v>
      </c>
      <c r="M97" s="216" t="s">
        <v>3009</v>
      </c>
    </row>
    <row r="98" spans="1:14">
      <c r="A98" s="184" t="s">
        <v>438</v>
      </c>
      <c r="B98" s="184" t="s">
        <v>3575</v>
      </c>
      <c r="C98" s="184">
        <v>2502170125</v>
      </c>
      <c r="D98" s="184" t="s">
        <v>3017</v>
      </c>
      <c r="E98" s="184" t="s">
        <v>3576</v>
      </c>
      <c r="F98" s="184" t="s">
        <v>3577</v>
      </c>
      <c r="G98" s="184" t="s">
        <v>3578</v>
      </c>
      <c r="H98" s="184" t="s">
        <v>3004</v>
      </c>
      <c r="I98" s="184" t="s">
        <v>3579</v>
      </c>
      <c r="J98" s="210" t="s">
        <v>3580</v>
      </c>
      <c r="K98" s="218" t="s">
        <v>3007</v>
      </c>
      <c r="L98" s="218" t="s">
        <v>3008</v>
      </c>
      <c r="M98" s="216" t="s">
        <v>3009</v>
      </c>
    </row>
    <row r="99" spans="1:14">
      <c r="A99" s="184" t="s">
        <v>442</v>
      </c>
      <c r="B99" s="184" t="s">
        <v>3581</v>
      </c>
      <c r="C99" s="184">
        <v>2502170477</v>
      </c>
      <c r="D99" s="184" t="s">
        <v>3017</v>
      </c>
      <c r="E99" s="184" t="s">
        <v>3582</v>
      </c>
      <c r="F99" s="184" t="s">
        <v>3583</v>
      </c>
      <c r="G99" s="184" t="s">
        <v>3584</v>
      </c>
      <c r="H99" s="184" t="s">
        <v>3004</v>
      </c>
      <c r="I99" s="184" t="s">
        <v>3585</v>
      </c>
      <c r="J99" s="210" t="s">
        <v>3586</v>
      </c>
      <c r="K99" s="218" t="s">
        <v>3007</v>
      </c>
      <c r="L99" s="218" t="s">
        <v>3008</v>
      </c>
      <c r="M99" s="216" t="s">
        <v>3009</v>
      </c>
    </row>
    <row r="100" spans="1:14">
      <c r="A100" s="184" t="s">
        <v>446</v>
      </c>
      <c r="B100" s="184" t="s">
        <v>3587</v>
      </c>
      <c r="C100" s="184">
        <v>2405070155</v>
      </c>
      <c r="D100" s="184" t="s">
        <v>3017</v>
      </c>
      <c r="E100" s="184" t="s">
        <v>3588</v>
      </c>
      <c r="F100" s="184" t="s">
        <v>3589</v>
      </c>
      <c r="G100" s="184" t="s">
        <v>3590</v>
      </c>
      <c r="H100" s="184" t="s">
        <v>3004</v>
      </c>
      <c r="I100" s="184" t="s">
        <v>3591</v>
      </c>
      <c r="J100" s="210" t="s">
        <v>3592</v>
      </c>
      <c r="K100" s="218" t="s">
        <v>3007</v>
      </c>
      <c r="L100" s="218" t="s">
        <v>3008</v>
      </c>
      <c r="M100" s="216" t="s">
        <v>3009</v>
      </c>
    </row>
    <row r="101" spans="1:14">
      <c r="A101" s="184" t="s">
        <v>450</v>
      </c>
      <c r="B101" s="184" t="s">
        <v>3593</v>
      </c>
      <c r="C101" s="184">
        <v>2405070684</v>
      </c>
      <c r="D101" s="184" t="s">
        <v>3017</v>
      </c>
      <c r="E101" s="184" t="s">
        <v>3594</v>
      </c>
      <c r="F101" s="184" t="s">
        <v>3595</v>
      </c>
      <c r="G101" s="184" t="s">
        <v>3596</v>
      </c>
      <c r="H101" s="184" t="s">
        <v>3004</v>
      </c>
      <c r="I101" s="184" t="s">
        <v>3597</v>
      </c>
      <c r="J101" s="210" t="s">
        <v>3598</v>
      </c>
      <c r="K101" s="218" t="s">
        <v>3007</v>
      </c>
      <c r="L101" s="218" t="s">
        <v>3008</v>
      </c>
      <c r="M101" s="216" t="s">
        <v>3009</v>
      </c>
    </row>
    <row r="102" spans="1:14">
      <c r="A102" s="184" t="s">
        <v>454</v>
      </c>
      <c r="B102" s="184" t="s">
        <v>3599</v>
      </c>
      <c r="C102" s="184">
        <v>2310230170</v>
      </c>
      <c r="D102" s="184" t="s">
        <v>3017</v>
      </c>
      <c r="E102" s="184" t="s">
        <v>3600</v>
      </c>
      <c r="F102" s="184" t="s">
        <v>3601</v>
      </c>
      <c r="G102" s="184" t="s">
        <v>3602</v>
      </c>
      <c r="H102" s="184" t="s">
        <v>3004</v>
      </c>
      <c r="I102" s="184" t="s">
        <v>3603</v>
      </c>
      <c r="J102" s="210" t="s">
        <v>3604</v>
      </c>
      <c r="K102" s="218" t="s">
        <v>3007</v>
      </c>
      <c r="L102" s="218" t="s">
        <v>3008</v>
      </c>
      <c r="M102" s="216" t="s">
        <v>3009</v>
      </c>
    </row>
    <row r="103" spans="1:14">
      <c r="A103" s="184" t="s">
        <v>458</v>
      </c>
      <c r="B103" s="184" t="s">
        <v>3605</v>
      </c>
      <c r="C103" s="184">
        <v>2502170405</v>
      </c>
      <c r="D103" s="184" t="s">
        <v>3017</v>
      </c>
      <c r="E103" s="184" t="s">
        <v>3606</v>
      </c>
      <c r="F103" s="184" t="s">
        <v>3607</v>
      </c>
      <c r="G103" s="184" t="s">
        <v>3608</v>
      </c>
      <c r="H103" s="184" t="s">
        <v>3004</v>
      </c>
      <c r="I103" s="184" t="s">
        <v>3609</v>
      </c>
      <c r="J103" s="210" t="s">
        <v>3610</v>
      </c>
      <c r="K103" s="218" t="s">
        <v>3007</v>
      </c>
      <c r="L103" s="218" t="s">
        <v>3008</v>
      </c>
      <c r="M103" s="216" t="s">
        <v>3009</v>
      </c>
    </row>
    <row r="104" spans="1:14">
      <c r="A104" s="184" t="s">
        <v>462</v>
      </c>
      <c r="B104" s="184" t="s">
        <v>3611</v>
      </c>
      <c r="C104" s="184">
        <v>2502170204</v>
      </c>
      <c r="D104" s="184" t="s">
        <v>3017</v>
      </c>
      <c r="E104" s="184" t="s">
        <v>3612</v>
      </c>
      <c r="F104" s="184" t="s">
        <v>3613</v>
      </c>
      <c r="G104" s="184" t="s">
        <v>3614</v>
      </c>
      <c r="H104" s="184" t="s">
        <v>3004</v>
      </c>
      <c r="I104" s="184" t="s">
        <v>3615</v>
      </c>
      <c r="J104" s="210" t="s">
        <v>3616</v>
      </c>
      <c r="K104" s="218" t="s">
        <v>3007</v>
      </c>
      <c r="L104" s="218" t="s">
        <v>3008</v>
      </c>
      <c r="M104" s="216" t="s">
        <v>3009</v>
      </c>
    </row>
    <row r="105" spans="1:14">
      <c r="A105" s="184" t="s">
        <v>466</v>
      </c>
      <c r="B105" s="184" t="s">
        <v>3617</v>
      </c>
      <c r="C105" s="184">
        <v>2502170205</v>
      </c>
      <c r="D105" s="184" t="s">
        <v>3017</v>
      </c>
      <c r="E105" s="184" t="s">
        <v>3618</v>
      </c>
      <c r="F105" s="184" t="s">
        <v>3619</v>
      </c>
      <c r="G105" s="184" t="s">
        <v>3620</v>
      </c>
      <c r="H105" s="184" t="s">
        <v>3004</v>
      </c>
      <c r="I105" s="184" t="s">
        <v>3621</v>
      </c>
      <c r="J105" s="210" t="s">
        <v>3622</v>
      </c>
      <c r="K105" s="218" t="s">
        <v>3007</v>
      </c>
      <c r="L105" s="218" t="s">
        <v>3008</v>
      </c>
      <c r="M105" s="216" t="s">
        <v>3009</v>
      </c>
    </row>
    <row r="106" spans="1:14">
      <c r="A106" s="184" t="s">
        <v>470</v>
      </c>
      <c r="B106" s="184" t="s">
        <v>3623</v>
      </c>
      <c r="C106" s="184">
        <v>2405070439</v>
      </c>
      <c r="D106" s="184" t="s">
        <v>3017</v>
      </c>
      <c r="E106" s="184" t="s">
        <v>3624</v>
      </c>
      <c r="F106" s="184" t="s">
        <v>3625</v>
      </c>
      <c r="G106" s="184" t="s">
        <v>3626</v>
      </c>
      <c r="H106" s="184" t="s">
        <v>3004</v>
      </c>
      <c r="I106" s="184" t="s">
        <v>3627</v>
      </c>
      <c r="J106" s="210" t="s">
        <v>3628</v>
      </c>
      <c r="K106" s="218" t="s">
        <v>3007</v>
      </c>
      <c r="L106" s="218" t="s">
        <v>3008</v>
      </c>
      <c r="M106" s="216" t="s">
        <v>3009</v>
      </c>
    </row>
    <row r="107" spans="1:14" hidden="1">
      <c r="A107" s="232" t="s">
        <v>474</v>
      </c>
      <c r="B107" s="232"/>
      <c r="C107" s="232"/>
      <c r="D107" s="232"/>
      <c r="E107" s="232"/>
      <c r="F107" s="232"/>
      <c r="G107" s="232"/>
      <c r="H107" s="232" t="s">
        <v>3004</v>
      </c>
      <c r="I107" s="232"/>
      <c r="J107" s="234" t="s">
        <v>3569</v>
      </c>
      <c r="K107" s="235"/>
      <c r="L107" s="235"/>
      <c r="M107" s="235"/>
      <c r="N107" s="235"/>
    </row>
    <row r="108" spans="1:14">
      <c r="A108" s="184" t="s">
        <v>478</v>
      </c>
      <c r="B108" s="184" t="s">
        <v>476</v>
      </c>
      <c r="C108" s="184">
        <v>2205180292</v>
      </c>
      <c r="D108" s="184" t="s">
        <v>3000</v>
      </c>
      <c r="E108" s="184" t="s">
        <v>3629</v>
      </c>
      <c r="F108" s="185" t="s">
        <v>3630</v>
      </c>
      <c r="G108" s="184" t="s">
        <v>3631</v>
      </c>
      <c r="H108" s="184" t="s">
        <v>3004</v>
      </c>
      <c r="I108" s="184" t="s">
        <v>3632</v>
      </c>
      <c r="J108" s="210" t="s">
        <v>3633</v>
      </c>
      <c r="K108" s="218" t="s">
        <v>3007</v>
      </c>
      <c r="L108" s="218" t="s">
        <v>3008</v>
      </c>
      <c r="M108" s="216" t="s">
        <v>3009</v>
      </c>
    </row>
    <row r="109" spans="1:14" s="242" customFormat="1">
      <c r="A109" s="238" t="s">
        <v>482</v>
      </c>
      <c r="B109" s="238" t="s">
        <v>480</v>
      </c>
      <c r="C109" s="238">
        <v>2102150548</v>
      </c>
      <c r="D109" s="238" t="s">
        <v>3000</v>
      </c>
      <c r="E109" s="238" t="s">
        <v>3634</v>
      </c>
      <c r="F109" s="238" t="s">
        <v>3635</v>
      </c>
      <c r="G109" s="238" t="s">
        <v>3636</v>
      </c>
      <c r="H109" s="238" t="s">
        <v>3004</v>
      </c>
      <c r="I109" s="238" t="s">
        <v>3637</v>
      </c>
      <c r="J109" s="240" t="s">
        <v>3638</v>
      </c>
      <c r="K109" s="250" t="s">
        <v>3007</v>
      </c>
      <c r="L109" s="250" t="s">
        <v>3008</v>
      </c>
      <c r="M109" s="241" t="s">
        <v>3009</v>
      </c>
    </row>
    <row r="110" spans="1:14" s="230" customFormat="1">
      <c r="A110" s="225" t="s">
        <v>487</v>
      </c>
      <c r="B110" s="225" t="s">
        <v>3639</v>
      </c>
      <c r="C110" s="225">
        <v>2310230140</v>
      </c>
      <c r="D110" s="225" t="s">
        <v>3017</v>
      </c>
      <c r="E110" s="225" t="s">
        <v>3640</v>
      </c>
      <c r="F110" s="225" t="s">
        <v>3641</v>
      </c>
      <c r="G110" s="225" t="s">
        <v>3642</v>
      </c>
      <c r="H110" s="225" t="s">
        <v>3004</v>
      </c>
      <c r="I110" s="225" t="s">
        <v>3643</v>
      </c>
      <c r="J110" s="227" t="s">
        <v>3644</v>
      </c>
      <c r="K110" s="228" t="s">
        <v>3007</v>
      </c>
      <c r="L110" s="228" t="s">
        <v>3008</v>
      </c>
      <c r="M110" s="229" t="s">
        <v>3009</v>
      </c>
      <c r="N110" s="230" t="s">
        <v>3645</v>
      </c>
    </row>
    <row r="111" spans="1:14">
      <c r="A111" s="184" t="s">
        <v>491</v>
      </c>
      <c r="B111" s="184" t="s">
        <v>3646</v>
      </c>
      <c r="C111" s="184">
        <v>2310230114</v>
      </c>
      <c r="D111" s="184" t="s">
        <v>3017</v>
      </c>
      <c r="E111" s="184" t="s">
        <v>3647</v>
      </c>
      <c r="F111" s="184" t="s">
        <v>3648</v>
      </c>
      <c r="G111" s="184" t="s">
        <v>3649</v>
      </c>
      <c r="H111" s="184" t="s">
        <v>3004</v>
      </c>
      <c r="I111" s="184" t="s">
        <v>3650</v>
      </c>
      <c r="J111" s="210" t="s">
        <v>3651</v>
      </c>
      <c r="K111" s="218" t="s">
        <v>3007</v>
      </c>
      <c r="L111" s="218" t="s">
        <v>3008</v>
      </c>
      <c r="M111" s="216" t="s">
        <v>3009</v>
      </c>
    </row>
    <row r="112" spans="1:14" s="242" customFormat="1">
      <c r="A112" s="243" t="s">
        <v>495</v>
      </c>
      <c r="B112" s="243" t="s">
        <v>3652</v>
      </c>
      <c r="C112" s="243">
        <v>2502170045</v>
      </c>
      <c r="D112" s="243" t="s">
        <v>3017</v>
      </c>
      <c r="E112" s="243" t="s">
        <v>3653</v>
      </c>
      <c r="F112" s="243" t="s">
        <v>3654</v>
      </c>
      <c r="G112" s="243" t="s">
        <v>3655</v>
      </c>
      <c r="H112" s="243" t="s">
        <v>3004</v>
      </c>
      <c r="I112" s="243" t="s">
        <v>3656</v>
      </c>
      <c r="J112" s="245" t="s">
        <v>3657</v>
      </c>
      <c r="K112" s="249" t="s">
        <v>3007</v>
      </c>
      <c r="L112" s="249" t="s">
        <v>3008</v>
      </c>
      <c r="M112" s="247" t="s">
        <v>3009</v>
      </c>
      <c r="N112" s="248"/>
    </row>
    <row r="113" spans="1:14" s="242" customFormat="1">
      <c r="A113" s="238" t="s">
        <v>498</v>
      </c>
      <c r="B113" s="238" t="s">
        <v>3658</v>
      </c>
      <c r="C113" s="238">
        <v>2310230199</v>
      </c>
      <c r="D113" s="238" t="s">
        <v>3017</v>
      </c>
      <c r="E113" s="238" t="s">
        <v>3659</v>
      </c>
      <c r="F113" s="238" t="s">
        <v>3660</v>
      </c>
      <c r="G113" s="238" t="s">
        <v>3661</v>
      </c>
      <c r="H113" s="238" t="s">
        <v>3004</v>
      </c>
      <c r="I113" s="238" t="s">
        <v>3662</v>
      </c>
      <c r="J113" s="240" t="s">
        <v>3663</v>
      </c>
      <c r="K113" s="250" t="s">
        <v>3007</v>
      </c>
      <c r="L113" s="250" t="s">
        <v>3008</v>
      </c>
      <c r="M113" s="241" t="s">
        <v>3009</v>
      </c>
    </row>
    <row r="114" spans="1:14">
      <c r="A114" s="184" t="s">
        <v>502</v>
      </c>
      <c r="B114" s="184" t="s">
        <v>3664</v>
      </c>
      <c r="C114" s="184">
        <v>2405070255</v>
      </c>
      <c r="D114" s="184" t="s">
        <v>3017</v>
      </c>
      <c r="E114" s="184" t="s">
        <v>3665</v>
      </c>
      <c r="F114" s="184" t="s">
        <v>3666</v>
      </c>
      <c r="G114" s="184" t="s">
        <v>3667</v>
      </c>
      <c r="H114" s="184" t="s">
        <v>3004</v>
      </c>
      <c r="I114" s="184" t="s">
        <v>3668</v>
      </c>
      <c r="J114" s="210" t="s">
        <v>3669</v>
      </c>
      <c r="K114" s="218" t="s">
        <v>3007</v>
      </c>
      <c r="L114" s="218" t="s">
        <v>3008</v>
      </c>
      <c r="M114" s="216" t="s">
        <v>3009</v>
      </c>
    </row>
    <row r="115" spans="1:14">
      <c r="A115" s="184" t="s">
        <v>506</v>
      </c>
      <c r="B115" s="184" t="s">
        <v>3670</v>
      </c>
      <c r="C115" s="184">
        <v>2502170201</v>
      </c>
      <c r="D115" s="184" t="s">
        <v>3017</v>
      </c>
      <c r="E115" s="184" t="s">
        <v>3671</v>
      </c>
      <c r="F115" s="184" t="s">
        <v>3672</v>
      </c>
      <c r="G115" s="184" t="s">
        <v>3673</v>
      </c>
      <c r="H115" s="184" t="s">
        <v>3004</v>
      </c>
      <c r="I115" s="184" t="s">
        <v>3674</v>
      </c>
      <c r="J115" s="210" t="s">
        <v>3675</v>
      </c>
      <c r="K115" s="218" t="s">
        <v>3007</v>
      </c>
      <c r="L115" s="218" t="s">
        <v>3008</v>
      </c>
      <c r="M115" s="216" t="s">
        <v>3009</v>
      </c>
    </row>
    <row r="116" spans="1:14">
      <c r="A116" s="184" t="s">
        <v>511</v>
      </c>
      <c r="B116" s="184" t="s">
        <v>509</v>
      </c>
      <c r="C116" s="184">
        <v>2405070755</v>
      </c>
      <c r="D116" s="184" t="s">
        <v>3017</v>
      </c>
      <c r="E116" s="184" t="s">
        <v>3676</v>
      </c>
      <c r="F116" s="184" t="s">
        <v>3677</v>
      </c>
      <c r="G116" s="184" t="s">
        <v>3678</v>
      </c>
      <c r="H116" s="184" t="s">
        <v>3004</v>
      </c>
      <c r="I116" s="184" t="s">
        <v>3679</v>
      </c>
      <c r="J116" s="210" t="s">
        <v>3680</v>
      </c>
      <c r="K116" s="218" t="s">
        <v>3007</v>
      </c>
      <c r="L116" s="218" t="s">
        <v>3008</v>
      </c>
      <c r="M116" s="216" t="s">
        <v>3009</v>
      </c>
    </row>
    <row r="117" spans="1:14" s="242" customFormat="1">
      <c r="A117" s="238" t="s">
        <v>515</v>
      </c>
      <c r="B117" s="238" t="s">
        <v>513</v>
      </c>
      <c r="C117" s="238">
        <v>2102150574</v>
      </c>
      <c r="D117" s="238" t="s">
        <v>3000</v>
      </c>
      <c r="E117" s="238" t="s">
        <v>3681</v>
      </c>
      <c r="F117" s="238" t="s">
        <v>3682</v>
      </c>
      <c r="G117" s="238" t="s">
        <v>3683</v>
      </c>
      <c r="H117" s="238" t="s">
        <v>3004</v>
      </c>
      <c r="I117" s="238" t="s">
        <v>3684</v>
      </c>
      <c r="J117" s="240" t="s">
        <v>3685</v>
      </c>
      <c r="K117" s="250" t="s">
        <v>3007</v>
      </c>
      <c r="L117" s="250" t="s">
        <v>3008</v>
      </c>
      <c r="M117" s="241" t="s">
        <v>3009</v>
      </c>
    </row>
    <row r="118" spans="1:14">
      <c r="A118" s="219" t="s">
        <v>518</v>
      </c>
      <c r="B118" s="219" t="s">
        <v>517</v>
      </c>
      <c r="C118" s="219">
        <v>2205180122</v>
      </c>
      <c r="D118" s="219" t="s">
        <v>3000</v>
      </c>
      <c r="E118" s="203" t="s">
        <v>3686</v>
      </c>
      <c r="F118" s="219" t="s">
        <v>3687</v>
      </c>
      <c r="G118" s="219" t="s">
        <v>3688</v>
      </c>
      <c r="H118" s="219" t="s">
        <v>3004</v>
      </c>
      <c r="I118" s="219" t="s">
        <v>3689</v>
      </c>
      <c r="J118" s="221" t="s">
        <v>3690</v>
      </c>
      <c r="K118" s="222"/>
      <c r="L118" s="222"/>
      <c r="M118" s="223"/>
      <c r="N118" s="223" t="s">
        <v>3691</v>
      </c>
    </row>
    <row r="119" spans="1:14">
      <c r="A119" s="184" t="s">
        <v>521</v>
      </c>
      <c r="B119" s="184" t="s">
        <v>520</v>
      </c>
      <c r="C119" s="184">
        <v>2201121311</v>
      </c>
      <c r="D119" s="184" t="s">
        <v>3000</v>
      </c>
      <c r="E119" s="184" t="s">
        <v>3692</v>
      </c>
      <c r="F119" s="184" t="s">
        <v>3693</v>
      </c>
      <c r="G119" s="184" t="s">
        <v>3694</v>
      </c>
      <c r="H119" s="184" t="s">
        <v>3004</v>
      </c>
      <c r="I119" s="184" t="s">
        <v>3695</v>
      </c>
      <c r="J119" s="210" t="s">
        <v>3696</v>
      </c>
      <c r="K119" s="218" t="s">
        <v>3007</v>
      </c>
      <c r="L119" s="218" t="s">
        <v>3008</v>
      </c>
      <c r="M119" s="216" t="s">
        <v>3009</v>
      </c>
    </row>
    <row r="120" spans="1:14">
      <c r="A120" s="184" t="s">
        <v>525</v>
      </c>
      <c r="B120" s="184" t="s">
        <v>3697</v>
      </c>
      <c r="C120" s="184">
        <v>2405061056</v>
      </c>
      <c r="D120" s="184" t="s">
        <v>3017</v>
      </c>
      <c r="E120" s="184" t="s">
        <v>3698</v>
      </c>
      <c r="F120" s="184" t="s">
        <v>3699</v>
      </c>
      <c r="G120" s="184" t="s">
        <v>3700</v>
      </c>
      <c r="H120" s="184" t="s">
        <v>3004</v>
      </c>
      <c r="I120" s="184" t="s">
        <v>3701</v>
      </c>
      <c r="J120" s="210" t="s">
        <v>3702</v>
      </c>
      <c r="K120" s="218" t="s">
        <v>3007</v>
      </c>
      <c r="L120" s="218" t="s">
        <v>3008</v>
      </c>
      <c r="M120" s="216" t="s">
        <v>3009</v>
      </c>
    </row>
    <row r="121" spans="1:14">
      <c r="A121" s="184" t="s">
        <v>528</v>
      </c>
      <c r="B121" s="184" t="s">
        <v>3703</v>
      </c>
      <c r="C121" s="184">
        <v>2201121318</v>
      </c>
      <c r="D121" s="184" t="s">
        <v>3000</v>
      </c>
      <c r="E121" s="184" t="s">
        <v>3704</v>
      </c>
      <c r="F121" s="184" t="s">
        <v>3705</v>
      </c>
      <c r="G121" s="184" t="s">
        <v>3706</v>
      </c>
      <c r="H121" s="184" t="s">
        <v>3004</v>
      </c>
      <c r="I121" s="184" t="s">
        <v>3707</v>
      </c>
      <c r="J121" s="210" t="s">
        <v>3708</v>
      </c>
      <c r="K121" s="218" t="s">
        <v>3007</v>
      </c>
      <c r="L121" s="218" t="s">
        <v>3008</v>
      </c>
      <c r="M121" s="216" t="s">
        <v>3009</v>
      </c>
    </row>
    <row r="122" spans="1:14">
      <c r="A122" s="184" t="s">
        <v>531</v>
      </c>
      <c r="B122" s="184" t="s">
        <v>3709</v>
      </c>
      <c r="C122" s="184">
        <v>2310230175</v>
      </c>
      <c r="D122" s="184" t="s">
        <v>3017</v>
      </c>
      <c r="E122" s="184" t="s">
        <v>3710</v>
      </c>
      <c r="F122" s="184" t="s">
        <v>3711</v>
      </c>
      <c r="G122" s="184" t="s">
        <v>3712</v>
      </c>
      <c r="H122" s="184" t="s">
        <v>3004</v>
      </c>
      <c r="I122" s="184" t="s">
        <v>3713</v>
      </c>
      <c r="J122" s="210" t="s">
        <v>3714</v>
      </c>
      <c r="K122" s="218" t="s">
        <v>3007</v>
      </c>
      <c r="L122" s="218" t="s">
        <v>3008</v>
      </c>
      <c r="M122" s="216" t="s">
        <v>3009</v>
      </c>
    </row>
    <row r="123" spans="1:14">
      <c r="A123" s="184" t="s">
        <v>535</v>
      </c>
      <c r="B123" s="184" t="s">
        <v>3715</v>
      </c>
      <c r="C123" s="184">
        <v>2405070261</v>
      </c>
      <c r="D123" s="184" t="s">
        <v>3017</v>
      </c>
      <c r="E123" s="184" t="s">
        <v>3716</v>
      </c>
      <c r="F123" s="184" t="s">
        <v>3717</v>
      </c>
      <c r="G123" s="184" t="s">
        <v>3718</v>
      </c>
      <c r="H123" s="184" t="s">
        <v>3004</v>
      </c>
      <c r="I123" s="184" t="s">
        <v>3719</v>
      </c>
      <c r="J123" s="210" t="s">
        <v>3720</v>
      </c>
      <c r="K123" s="218" t="s">
        <v>3007</v>
      </c>
      <c r="L123" s="218" t="s">
        <v>3008</v>
      </c>
      <c r="M123" s="216" t="s">
        <v>3009</v>
      </c>
    </row>
    <row r="124" spans="1:14">
      <c r="A124" s="184" t="s">
        <v>539</v>
      </c>
      <c r="B124" s="184" t="s">
        <v>3721</v>
      </c>
      <c r="C124" s="184">
        <v>2310230162</v>
      </c>
      <c r="D124" s="184" t="s">
        <v>3017</v>
      </c>
      <c r="E124" s="184" t="s">
        <v>3722</v>
      </c>
      <c r="F124" s="184" t="s">
        <v>3723</v>
      </c>
      <c r="G124" s="184" t="s">
        <v>3724</v>
      </c>
      <c r="H124" s="184" t="s">
        <v>3004</v>
      </c>
      <c r="I124" s="184" t="s">
        <v>3725</v>
      </c>
      <c r="J124" s="210" t="s">
        <v>3726</v>
      </c>
      <c r="K124" s="218" t="s">
        <v>3007</v>
      </c>
      <c r="L124" s="218" t="s">
        <v>3008</v>
      </c>
      <c r="M124" s="216" t="s">
        <v>3009</v>
      </c>
    </row>
    <row r="125" spans="1:14">
      <c r="A125" s="184" t="s">
        <v>543</v>
      </c>
      <c r="B125" s="184" t="s">
        <v>3727</v>
      </c>
      <c r="C125" s="184">
        <v>2502170212</v>
      </c>
      <c r="D125" s="184" t="s">
        <v>3017</v>
      </c>
      <c r="E125" s="184" t="s">
        <v>3728</v>
      </c>
      <c r="F125" s="184" t="s">
        <v>3729</v>
      </c>
      <c r="G125" s="184" t="s">
        <v>3730</v>
      </c>
      <c r="H125" s="184" t="s">
        <v>3004</v>
      </c>
      <c r="I125" s="184" t="s">
        <v>3731</v>
      </c>
      <c r="J125" s="210" t="s">
        <v>3732</v>
      </c>
      <c r="K125" s="218" t="s">
        <v>3007</v>
      </c>
      <c r="L125" s="218" t="s">
        <v>3008</v>
      </c>
      <c r="M125" s="216" t="s">
        <v>3009</v>
      </c>
    </row>
    <row r="126" spans="1:14">
      <c r="A126" s="184" t="s">
        <v>548</v>
      </c>
      <c r="B126" s="184" t="s">
        <v>546</v>
      </c>
      <c r="C126" s="184">
        <v>2201121312</v>
      </c>
      <c r="D126" s="184" t="s">
        <v>3000</v>
      </c>
      <c r="E126" s="184" t="s">
        <v>3733</v>
      </c>
      <c r="F126" s="184" t="s">
        <v>3734</v>
      </c>
      <c r="G126" s="184" t="s">
        <v>3735</v>
      </c>
      <c r="H126" s="184" t="s">
        <v>3004</v>
      </c>
      <c r="I126" s="184" t="s">
        <v>3736</v>
      </c>
      <c r="J126" s="210" t="s">
        <v>3737</v>
      </c>
      <c r="K126" s="218" t="s">
        <v>3007</v>
      </c>
      <c r="L126" s="218" t="s">
        <v>3008</v>
      </c>
      <c r="M126" s="216" t="s">
        <v>3009</v>
      </c>
    </row>
    <row r="127" spans="1:14">
      <c r="A127" s="184" t="s">
        <v>551</v>
      </c>
      <c r="B127" s="184" t="s">
        <v>550</v>
      </c>
      <c r="C127" s="184">
        <v>2205180092</v>
      </c>
      <c r="D127" s="184" t="s">
        <v>3000</v>
      </c>
      <c r="E127" s="184" t="s">
        <v>3738</v>
      </c>
      <c r="F127" s="184" t="s">
        <v>3739</v>
      </c>
      <c r="G127" s="184" t="s">
        <v>3740</v>
      </c>
      <c r="H127" s="184" t="s">
        <v>3004</v>
      </c>
      <c r="I127" s="184" t="s">
        <v>3741</v>
      </c>
      <c r="J127" s="210" t="s">
        <v>3742</v>
      </c>
      <c r="K127" s="218" t="s">
        <v>3007</v>
      </c>
      <c r="L127" s="218" t="s">
        <v>3008</v>
      </c>
      <c r="M127" s="216" t="s">
        <v>3009</v>
      </c>
    </row>
    <row r="128" spans="1:14" s="242" customFormat="1">
      <c r="A128" s="243" t="s">
        <v>554</v>
      </c>
      <c r="B128" s="243" t="s">
        <v>553</v>
      </c>
      <c r="C128" s="243">
        <v>2201121419</v>
      </c>
      <c r="D128" s="243" t="s">
        <v>3000</v>
      </c>
      <c r="E128" s="243" t="s">
        <v>3743</v>
      </c>
      <c r="F128" s="243" t="s">
        <v>3744</v>
      </c>
      <c r="G128" s="243" t="s">
        <v>3745</v>
      </c>
      <c r="H128" s="243" t="s">
        <v>3004</v>
      </c>
      <c r="I128" s="243" t="s">
        <v>3746</v>
      </c>
      <c r="J128" s="245" t="s">
        <v>3747</v>
      </c>
      <c r="K128" s="249" t="s">
        <v>3007</v>
      </c>
      <c r="L128" s="249" t="s">
        <v>3008</v>
      </c>
      <c r="M128" s="247" t="s">
        <v>3009</v>
      </c>
      <c r="N128" s="248"/>
    </row>
    <row r="129" spans="1:14">
      <c r="A129" s="184" t="s">
        <v>557</v>
      </c>
      <c r="B129" s="184" t="s">
        <v>556</v>
      </c>
      <c r="C129" s="184">
        <v>2201121495</v>
      </c>
      <c r="D129" s="184" t="s">
        <v>3000</v>
      </c>
      <c r="E129" s="184" t="s">
        <v>3748</v>
      </c>
      <c r="F129" s="184" t="s">
        <v>3749</v>
      </c>
      <c r="G129" s="184" t="s">
        <v>3750</v>
      </c>
      <c r="H129" s="184" t="s">
        <v>3004</v>
      </c>
      <c r="I129" s="184" t="s">
        <v>3751</v>
      </c>
      <c r="J129" s="210" t="s">
        <v>3752</v>
      </c>
      <c r="K129" s="218" t="s">
        <v>3007</v>
      </c>
      <c r="L129" s="218" t="s">
        <v>3008</v>
      </c>
      <c r="M129" s="216" t="s">
        <v>3009</v>
      </c>
    </row>
    <row r="130" spans="1:14">
      <c r="A130" s="184" t="s">
        <v>561</v>
      </c>
      <c r="B130" s="184" t="s">
        <v>559</v>
      </c>
      <c r="C130" s="184">
        <v>2310230203</v>
      </c>
      <c r="D130" s="184" t="s">
        <v>3017</v>
      </c>
      <c r="E130" s="184" t="s">
        <v>3753</v>
      </c>
      <c r="F130" s="184" t="s">
        <v>3754</v>
      </c>
      <c r="G130" s="184" t="s">
        <v>3755</v>
      </c>
      <c r="H130" s="184" t="s">
        <v>3004</v>
      </c>
      <c r="I130" s="184" t="s">
        <v>3756</v>
      </c>
      <c r="J130" s="210" t="s">
        <v>3757</v>
      </c>
      <c r="K130" s="215" t="s">
        <v>3007</v>
      </c>
      <c r="L130" s="215" t="s">
        <v>3008</v>
      </c>
      <c r="M130" s="112" t="s">
        <v>3009</v>
      </c>
    </row>
    <row r="131" spans="1:14">
      <c r="A131" s="184" t="s">
        <v>565</v>
      </c>
      <c r="B131" s="184" t="s">
        <v>563</v>
      </c>
      <c r="C131" s="184">
        <v>2310230138</v>
      </c>
      <c r="D131" s="184" t="s">
        <v>3017</v>
      </c>
      <c r="E131" s="184" t="s">
        <v>3758</v>
      </c>
      <c r="F131" s="184" t="s">
        <v>3759</v>
      </c>
      <c r="G131" s="184" t="s">
        <v>3760</v>
      </c>
      <c r="H131" s="184" t="s">
        <v>3004</v>
      </c>
      <c r="I131" s="184" t="s">
        <v>3761</v>
      </c>
      <c r="J131" s="210" t="s">
        <v>3762</v>
      </c>
      <c r="K131" s="215" t="s">
        <v>3007</v>
      </c>
      <c r="L131" s="215" t="s">
        <v>3008</v>
      </c>
      <c r="M131" s="112" t="s">
        <v>3009</v>
      </c>
    </row>
    <row r="132" spans="1:14" s="242" customFormat="1">
      <c r="A132" s="243" t="s">
        <v>570</v>
      </c>
      <c r="B132" s="243" t="s">
        <v>567</v>
      </c>
      <c r="C132" s="243">
        <v>2405061066</v>
      </c>
      <c r="D132" s="243" t="s">
        <v>3017</v>
      </c>
      <c r="E132" s="243" t="s">
        <v>3763</v>
      </c>
      <c r="F132" s="243" t="s">
        <v>3764</v>
      </c>
      <c r="G132" s="243" t="s">
        <v>3765</v>
      </c>
      <c r="H132" s="243" t="s">
        <v>3004</v>
      </c>
      <c r="I132" s="243" t="s">
        <v>3766</v>
      </c>
      <c r="J132" s="245" t="s">
        <v>3767</v>
      </c>
      <c r="K132" s="249" t="s">
        <v>3007</v>
      </c>
      <c r="L132" s="249" t="s">
        <v>3008</v>
      </c>
      <c r="M132" s="247" t="s">
        <v>3009</v>
      </c>
      <c r="N132" s="248"/>
    </row>
    <row r="133" spans="1:14" hidden="1">
      <c r="A133" s="232" t="s">
        <v>574</v>
      </c>
      <c r="B133" s="232"/>
      <c r="C133" s="232"/>
      <c r="D133" s="232"/>
      <c r="E133" s="232"/>
      <c r="F133" s="232"/>
      <c r="G133" s="232"/>
      <c r="H133" s="232" t="s">
        <v>3004</v>
      </c>
      <c r="I133" s="232"/>
      <c r="J133" s="234" t="s">
        <v>3569</v>
      </c>
      <c r="K133" s="235"/>
      <c r="L133" s="235"/>
      <c r="M133" s="235"/>
      <c r="N133" s="236"/>
    </row>
    <row r="134" spans="1:14">
      <c r="A134" s="184" t="s">
        <v>578</v>
      </c>
      <c r="B134" s="184" t="s">
        <v>576</v>
      </c>
      <c r="C134" s="184">
        <v>2405070417</v>
      </c>
      <c r="D134" s="184" t="s">
        <v>3017</v>
      </c>
      <c r="E134" s="184" t="s">
        <v>3768</v>
      </c>
      <c r="F134" s="184" t="s">
        <v>3769</v>
      </c>
      <c r="G134" s="184" t="s">
        <v>3770</v>
      </c>
      <c r="H134" s="184" t="s">
        <v>3004</v>
      </c>
      <c r="I134" s="184" t="s">
        <v>3771</v>
      </c>
      <c r="J134" s="210" t="s">
        <v>3772</v>
      </c>
      <c r="K134" s="218" t="s">
        <v>3007</v>
      </c>
      <c r="L134" s="218" t="s">
        <v>3008</v>
      </c>
      <c r="M134" s="216" t="s">
        <v>3009</v>
      </c>
    </row>
    <row r="135" spans="1:14">
      <c r="A135" s="184" t="s">
        <v>582</v>
      </c>
      <c r="B135" s="184" t="s">
        <v>580</v>
      </c>
      <c r="C135" s="184">
        <v>2405070668</v>
      </c>
      <c r="D135" s="184" t="s">
        <v>3017</v>
      </c>
      <c r="E135" s="184" t="s">
        <v>3773</v>
      </c>
      <c r="F135" s="184" t="s">
        <v>3774</v>
      </c>
      <c r="G135" s="184" t="s">
        <v>3775</v>
      </c>
      <c r="H135" s="184" t="s">
        <v>3004</v>
      </c>
      <c r="I135" s="184" t="s">
        <v>3776</v>
      </c>
      <c r="J135" s="210" t="s">
        <v>3777</v>
      </c>
      <c r="K135" s="218" t="s">
        <v>3007</v>
      </c>
      <c r="L135" s="218" t="s">
        <v>3008</v>
      </c>
      <c r="M135" s="216" t="s">
        <v>3009</v>
      </c>
    </row>
    <row r="136" spans="1:14">
      <c r="A136" s="184" t="s">
        <v>585</v>
      </c>
      <c r="B136" s="184" t="s">
        <v>584</v>
      </c>
      <c r="C136" s="184">
        <v>2405070489</v>
      </c>
      <c r="D136" s="184" t="s">
        <v>3017</v>
      </c>
      <c r="E136" s="184" t="s">
        <v>3778</v>
      </c>
      <c r="F136" s="184" t="s">
        <v>3779</v>
      </c>
      <c r="G136" s="184" t="s">
        <v>3780</v>
      </c>
      <c r="H136" s="184" t="s">
        <v>3004</v>
      </c>
      <c r="I136" s="184" t="s">
        <v>3781</v>
      </c>
      <c r="J136" s="210" t="s">
        <v>3782</v>
      </c>
      <c r="K136" s="218" t="s">
        <v>3007</v>
      </c>
      <c r="L136" s="218" t="s">
        <v>3008</v>
      </c>
      <c r="M136" s="216" t="s">
        <v>3009</v>
      </c>
    </row>
    <row r="137" spans="1:14" s="230" customFormat="1">
      <c r="A137" s="225" t="s">
        <v>588</v>
      </c>
      <c r="B137" s="225" t="s">
        <v>587</v>
      </c>
      <c r="C137" s="225">
        <v>2205180236</v>
      </c>
      <c r="D137" s="225" t="s">
        <v>3000</v>
      </c>
      <c r="E137" s="225" t="s">
        <v>3783</v>
      </c>
      <c r="F137" s="225" t="s">
        <v>3784</v>
      </c>
      <c r="G137" s="225" t="s">
        <v>3785</v>
      </c>
      <c r="H137" s="225" t="s">
        <v>3004</v>
      </c>
      <c r="I137" s="225" t="s">
        <v>3786</v>
      </c>
      <c r="J137" s="227" t="s">
        <v>3787</v>
      </c>
      <c r="K137" s="228"/>
      <c r="L137" s="228"/>
      <c r="M137" s="229"/>
      <c r="N137" s="230" t="s">
        <v>3788</v>
      </c>
    </row>
    <row r="138" spans="1:14">
      <c r="A138" s="184" t="s">
        <v>591</v>
      </c>
      <c r="B138" s="184" t="s">
        <v>590</v>
      </c>
      <c r="C138" s="184">
        <v>2201121496</v>
      </c>
      <c r="D138" s="184" t="s">
        <v>3000</v>
      </c>
      <c r="E138" s="184" t="s">
        <v>3789</v>
      </c>
      <c r="F138" s="184" t="s">
        <v>3790</v>
      </c>
      <c r="G138" s="184" t="s">
        <v>3791</v>
      </c>
      <c r="H138" s="184" t="s">
        <v>3004</v>
      </c>
      <c r="I138" s="184" t="s">
        <v>3792</v>
      </c>
      <c r="J138" s="210" t="s">
        <v>3793</v>
      </c>
      <c r="K138" s="218" t="s">
        <v>3007</v>
      </c>
      <c r="L138" s="218" t="s">
        <v>3008</v>
      </c>
      <c r="M138" s="216" t="s">
        <v>3009</v>
      </c>
    </row>
    <row r="139" spans="1:14">
      <c r="A139" s="184" t="s">
        <v>594</v>
      </c>
      <c r="B139" s="184" t="s">
        <v>593</v>
      </c>
      <c r="C139" s="184">
        <v>2201121494</v>
      </c>
      <c r="D139" s="184" t="s">
        <v>3000</v>
      </c>
      <c r="E139" s="184" t="s">
        <v>3794</v>
      </c>
      <c r="F139" s="184" t="s">
        <v>3795</v>
      </c>
      <c r="G139" s="184" t="s">
        <v>3796</v>
      </c>
      <c r="H139" s="184" t="s">
        <v>3004</v>
      </c>
      <c r="I139" s="184" t="s">
        <v>3797</v>
      </c>
      <c r="J139" s="210" t="s">
        <v>3798</v>
      </c>
      <c r="K139" s="218" t="s">
        <v>3007</v>
      </c>
      <c r="L139" s="218" t="s">
        <v>3008</v>
      </c>
      <c r="M139" s="216" t="s">
        <v>3009</v>
      </c>
    </row>
    <row r="140" spans="1:14" s="242" customFormat="1">
      <c r="A140" s="238" t="s">
        <v>597</v>
      </c>
      <c r="B140" s="238" t="s">
        <v>596</v>
      </c>
      <c r="C140" s="238">
        <v>2310230137</v>
      </c>
      <c r="D140" s="238" t="s">
        <v>3017</v>
      </c>
      <c r="E140" s="238" t="s">
        <v>3799</v>
      </c>
      <c r="F140" s="238" t="s">
        <v>3800</v>
      </c>
      <c r="G140" s="238" t="s">
        <v>3801</v>
      </c>
      <c r="H140" s="238" t="s">
        <v>3004</v>
      </c>
      <c r="I140" s="238" t="s">
        <v>3802</v>
      </c>
      <c r="J140" s="240" t="s">
        <v>3803</v>
      </c>
      <c r="K140" s="250" t="s">
        <v>3007</v>
      </c>
      <c r="L140" s="250" t="s">
        <v>3008</v>
      </c>
      <c r="M140" s="241" t="s">
        <v>3009</v>
      </c>
    </row>
    <row r="141" spans="1:14" s="242" customFormat="1">
      <c r="A141" s="243" t="s">
        <v>600</v>
      </c>
      <c r="B141" s="243" t="s">
        <v>599</v>
      </c>
      <c r="C141" s="243">
        <v>2310230178</v>
      </c>
      <c r="D141" s="243" t="s">
        <v>3017</v>
      </c>
      <c r="E141" s="243" t="s">
        <v>3804</v>
      </c>
      <c r="F141" s="243" t="s">
        <v>3805</v>
      </c>
      <c r="G141" s="243" t="s">
        <v>3806</v>
      </c>
      <c r="H141" s="243" t="s">
        <v>3004</v>
      </c>
      <c r="I141" s="243" t="s">
        <v>3807</v>
      </c>
      <c r="J141" s="245" t="s">
        <v>3808</v>
      </c>
      <c r="K141" s="249" t="s">
        <v>3007</v>
      </c>
      <c r="L141" s="249" t="s">
        <v>3008</v>
      </c>
      <c r="M141" s="247" t="s">
        <v>3009</v>
      </c>
      <c r="N141" s="248"/>
    </row>
    <row r="142" spans="1:14" s="242" customFormat="1">
      <c r="A142" s="238" t="s">
        <v>603</v>
      </c>
      <c r="B142" s="238" t="s">
        <v>602</v>
      </c>
      <c r="C142" s="238">
        <v>2405061638</v>
      </c>
      <c r="D142" s="238" t="s">
        <v>3017</v>
      </c>
      <c r="E142" s="238" t="s">
        <v>3809</v>
      </c>
      <c r="F142" s="238" t="s">
        <v>3810</v>
      </c>
      <c r="G142" s="238" t="s">
        <v>3811</v>
      </c>
      <c r="H142" s="238" t="s">
        <v>3004</v>
      </c>
      <c r="I142" s="238" t="s">
        <v>3812</v>
      </c>
      <c r="J142" s="240" t="s">
        <v>3813</v>
      </c>
      <c r="K142" s="250" t="s">
        <v>3007</v>
      </c>
      <c r="L142" s="250" t="s">
        <v>3008</v>
      </c>
      <c r="M142" s="241" t="s">
        <v>3009</v>
      </c>
    </row>
    <row r="143" spans="1:14" s="230" customFormat="1">
      <c r="A143" s="225" t="s">
        <v>606</v>
      </c>
      <c r="B143" s="225" t="s">
        <v>605</v>
      </c>
      <c r="C143" s="225">
        <v>2405061645</v>
      </c>
      <c r="D143" s="225" t="s">
        <v>3017</v>
      </c>
      <c r="E143" s="225" t="s">
        <v>3814</v>
      </c>
      <c r="F143" s="225" t="s">
        <v>3815</v>
      </c>
      <c r="G143" s="225" t="s">
        <v>3816</v>
      </c>
      <c r="H143" s="225" t="s">
        <v>3004</v>
      </c>
      <c r="I143" s="225" t="s">
        <v>3817</v>
      </c>
      <c r="J143" s="227" t="s">
        <v>3818</v>
      </c>
      <c r="K143" s="231" t="s">
        <v>3007</v>
      </c>
      <c r="L143" s="231" t="s">
        <v>3008</v>
      </c>
      <c r="M143" s="120" t="s">
        <v>3060</v>
      </c>
      <c r="N143" s="230" t="s">
        <v>3819</v>
      </c>
    </row>
    <row r="144" spans="1:14">
      <c r="A144" s="184" t="s">
        <v>609</v>
      </c>
      <c r="B144" s="184" t="s">
        <v>608</v>
      </c>
      <c r="C144" s="184">
        <v>2405070683</v>
      </c>
      <c r="D144" s="184" t="s">
        <v>3017</v>
      </c>
      <c r="E144" s="184" t="s">
        <v>3820</v>
      </c>
      <c r="F144" s="184" t="s">
        <v>3821</v>
      </c>
      <c r="G144" s="184" t="s">
        <v>3822</v>
      </c>
      <c r="H144" s="184" t="s">
        <v>3004</v>
      </c>
      <c r="I144" s="184" t="s">
        <v>3823</v>
      </c>
      <c r="J144" s="210" t="s">
        <v>3824</v>
      </c>
      <c r="K144" s="218" t="s">
        <v>3007</v>
      </c>
      <c r="L144" s="218" t="s">
        <v>3008</v>
      </c>
      <c r="M144" s="216" t="s">
        <v>3009</v>
      </c>
    </row>
    <row r="145" spans="1:14">
      <c r="A145" s="184" t="s">
        <v>612</v>
      </c>
      <c r="B145" s="184" t="s">
        <v>611</v>
      </c>
      <c r="C145" s="184">
        <v>2405070453</v>
      </c>
      <c r="D145" s="184" t="s">
        <v>3017</v>
      </c>
      <c r="E145" s="184" t="s">
        <v>3825</v>
      </c>
      <c r="F145" s="184" t="s">
        <v>3826</v>
      </c>
      <c r="G145" s="184" t="s">
        <v>3827</v>
      </c>
      <c r="H145" s="184" t="s">
        <v>3004</v>
      </c>
      <c r="I145" s="184" t="s">
        <v>3828</v>
      </c>
      <c r="J145" s="210" t="s">
        <v>3829</v>
      </c>
      <c r="K145" s="218" t="s">
        <v>3007</v>
      </c>
      <c r="L145" s="218" t="s">
        <v>3008</v>
      </c>
      <c r="M145" s="216" t="s">
        <v>3009</v>
      </c>
    </row>
    <row r="146" spans="1:14">
      <c r="A146" s="184" t="s">
        <v>615</v>
      </c>
      <c r="B146" s="184" t="s">
        <v>614</v>
      </c>
      <c r="C146" s="184">
        <v>2405070433</v>
      </c>
      <c r="D146" s="184" t="s">
        <v>3017</v>
      </c>
      <c r="E146" s="184" t="s">
        <v>3830</v>
      </c>
      <c r="F146" s="184" t="s">
        <v>3831</v>
      </c>
      <c r="G146" s="184" t="s">
        <v>3832</v>
      </c>
      <c r="H146" s="184" t="s">
        <v>3004</v>
      </c>
      <c r="I146" s="184" t="s">
        <v>3833</v>
      </c>
      <c r="J146" s="210" t="s">
        <v>3834</v>
      </c>
      <c r="K146" s="218" t="s">
        <v>3007</v>
      </c>
      <c r="L146" s="218" t="s">
        <v>3008</v>
      </c>
      <c r="M146" s="216" t="s">
        <v>3009</v>
      </c>
    </row>
    <row r="147" spans="1:14">
      <c r="A147" s="184" t="s">
        <v>618</v>
      </c>
      <c r="B147" s="184" t="s">
        <v>617</v>
      </c>
      <c r="C147" s="184">
        <v>2205180290</v>
      </c>
      <c r="D147" s="184" t="s">
        <v>3000</v>
      </c>
      <c r="E147" s="184" t="s">
        <v>3835</v>
      </c>
      <c r="F147" s="184" t="s">
        <v>3836</v>
      </c>
      <c r="G147" s="184" t="s">
        <v>3837</v>
      </c>
      <c r="H147" s="184" t="s">
        <v>3004</v>
      </c>
      <c r="I147" s="184" t="s">
        <v>3838</v>
      </c>
      <c r="J147" s="210" t="s">
        <v>3839</v>
      </c>
      <c r="K147" s="218" t="s">
        <v>3007</v>
      </c>
      <c r="L147" s="218" t="s">
        <v>3008</v>
      </c>
      <c r="M147" s="216" t="s">
        <v>3009</v>
      </c>
    </row>
    <row r="148" spans="1:14">
      <c r="A148" s="184" t="s">
        <v>621</v>
      </c>
      <c r="B148" s="184" t="s">
        <v>620</v>
      </c>
      <c r="C148" s="184">
        <v>2205180063</v>
      </c>
      <c r="D148" s="184" t="s">
        <v>3000</v>
      </c>
      <c r="E148" s="184" t="s">
        <v>3840</v>
      </c>
      <c r="F148" s="184" t="s">
        <v>3841</v>
      </c>
      <c r="G148" s="184" t="s">
        <v>3842</v>
      </c>
      <c r="H148" s="184" t="s">
        <v>3004</v>
      </c>
      <c r="I148" s="184" t="s">
        <v>3843</v>
      </c>
      <c r="J148" s="210" t="s">
        <v>3844</v>
      </c>
      <c r="K148" s="218" t="s">
        <v>3007</v>
      </c>
      <c r="L148" s="218" t="s">
        <v>3008</v>
      </c>
      <c r="M148" s="216" t="s">
        <v>3009</v>
      </c>
    </row>
    <row r="149" spans="1:14">
      <c r="A149" s="184" t="s">
        <v>624</v>
      </c>
      <c r="B149" s="184" t="s">
        <v>623</v>
      </c>
      <c r="C149" s="184">
        <v>2205180266</v>
      </c>
      <c r="D149" s="184" t="s">
        <v>3000</v>
      </c>
      <c r="E149" s="184" t="s">
        <v>3845</v>
      </c>
      <c r="F149" s="184" t="s">
        <v>3846</v>
      </c>
      <c r="G149" s="184" t="s">
        <v>3847</v>
      </c>
      <c r="H149" s="184" t="s">
        <v>3004</v>
      </c>
      <c r="I149" s="184" t="s">
        <v>3848</v>
      </c>
      <c r="J149" s="210" t="s">
        <v>3849</v>
      </c>
      <c r="K149" s="218" t="s">
        <v>3007</v>
      </c>
      <c r="L149" s="218" t="s">
        <v>3008</v>
      </c>
      <c r="M149" s="216" t="s">
        <v>3009</v>
      </c>
    </row>
    <row r="150" spans="1:14">
      <c r="A150" s="184" t="s">
        <v>627</v>
      </c>
      <c r="B150" s="184" t="s">
        <v>626</v>
      </c>
      <c r="C150" s="184">
        <v>2405070399</v>
      </c>
      <c r="D150" s="184" t="s">
        <v>3017</v>
      </c>
      <c r="E150" s="184" t="s">
        <v>3850</v>
      </c>
      <c r="F150" s="184" t="s">
        <v>3851</v>
      </c>
      <c r="G150" s="184" t="s">
        <v>3852</v>
      </c>
      <c r="H150" s="184" t="s">
        <v>3004</v>
      </c>
      <c r="I150" s="184" t="s">
        <v>3853</v>
      </c>
      <c r="J150" s="210" t="s">
        <v>3854</v>
      </c>
      <c r="K150" s="218" t="s">
        <v>3007</v>
      </c>
      <c r="L150" s="218" t="s">
        <v>3008</v>
      </c>
      <c r="M150" s="216" t="s">
        <v>3009</v>
      </c>
    </row>
    <row r="151" spans="1:14" s="242" customFormat="1">
      <c r="A151" s="243" t="s">
        <v>630</v>
      </c>
      <c r="B151" s="243" t="s">
        <v>629</v>
      </c>
      <c r="C151" s="243">
        <v>2405060383</v>
      </c>
      <c r="D151" s="243" t="s">
        <v>3017</v>
      </c>
      <c r="E151" s="243" t="s">
        <v>3855</v>
      </c>
      <c r="F151" s="243" t="s">
        <v>3856</v>
      </c>
      <c r="G151" s="243" t="s">
        <v>3857</v>
      </c>
      <c r="H151" s="243" t="s">
        <v>3004</v>
      </c>
      <c r="I151" s="243" t="s">
        <v>3858</v>
      </c>
      <c r="J151" s="245" t="s">
        <v>3859</v>
      </c>
      <c r="K151" s="249" t="s">
        <v>3007</v>
      </c>
      <c r="L151" s="249" t="s">
        <v>3008</v>
      </c>
      <c r="M151" s="247" t="s">
        <v>3009</v>
      </c>
      <c r="N151" s="248"/>
    </row>
    <row r="152" spans="1:14" s="242" customFormat="1">
      <c r="A152" s="238" t="s">
        <v>633</v>
      </c>
      <c r="B152" s="238" t="s">
        <v>632</v>
      </c>
      <c r="C152" s="238">
        <v>2405070715</v>
      </c>
      <c r="D152" s="238" t="s">
        <v>3017</v>
      </c>
      <c r="E152" s="238" t="s">
        <v>3860</v>
      </c>
      <c r="F152" s="238" t="s">
        <v>3861</v>
      </c>
      <c r="G152" s="238" t="s">
        <v>3862</v>
      </c>
      <c r="H152" s="238" t="s">
        <v>3004</v>
      </c>
      <c r="I152" s="238" t="s">
        <v>3863</v>
      </c>
      <c r="J152" s="240" t="s">
        <v>3864</v>
      </c>
      <c r="K152" s="250" t="s">
        <v>3007</v>
      </c>
      <c r="L152" s="250" t="s">
        <v>3008</v>
      </c>
      <c r="M152" s="241" t="s">
        <v>3009</v>
      </c>
    </row>
    <row r="153" spans="1:14" s="242" customFormat="1">
      <c r="A153" s="243" t="s">
        <v>636</v>
      </c>
      <c r="B153" s="243" t="s">
        <v>635</v>
      </c>
      <c r="C153" s="243">
        <v>2405070275</v>
      </c>
      <c r="D153" s="243" t="s">
        <v>3017</v>
      </c>
      <c r="E153" s="243" t="s">
        <v>3865</v>
      </c>
      <c r="F153" s="243" t="s">
        <v>3866</v>
      </c>
      <c r="G153" s="243" t="s">
        <v>3867</v>
      </c>
      <c r="H153" s="243" t="s">
        <v>3004</v>
      </c>
      <c r="I153" s="243" t="s">
        <v>3868</v>
      </c>
      <c r="J153" s="245" t="s">
        <v>3869</v>
      </c>
      <c r="K153" s="249" t="s">
        <v>3007</v>
      </c>
      <c r="L153" s="249" t="s">
        <v>3008</v>
      </c>
      <c r="M153" s="247" t="s">
        <v>3009</v>
      </c>
      <c r="N153" s="248"/>
    </row>
    <row r="154" spans="1:14">
      <c r="A154" s="184" t="s">
        <v>639</v>
      </c>
      <c r="B154" s="184" t="s">
        <v>638</v>
      </c>
      <c r="C154" s="184">
        <v>2405061643</v>
      </c>
      <c r="D154" s="184" t="s">
        <v>3017</v>
      </c>
      <c r="E154" s="184" t="s">
        <v>3870</v>
      </c>
      <c r="F154" s="184" t="s">
        <v>3871</v>
      </c>
      <c r="G154" s="184" t="s">
        <v>3872</v>
      </c>
      <c r="H154" s="184" t="s">
        <v>3004</v>
      </c>
      <c r="I154" s="184" t="s">
        <v>3873</v>
      </c>
      <c r="J154" s="210" t="s">
        <v>3874</v>
      </c>
      <c r="K154" s="218" t="s">
        <v>3007</v>
      </c>
      <c r="L154" s="218" t="s">
        <v>3008</v>
      </c>
      <c r="M154" s="216" t="s">
        <v>3009</v>
      </c>
    </row>
    <row r="155" spans="1:14">
      <c r="A155" s="184" t="s">
        <v>642</v>
      </c>
      <c r="B155" s="184" t="s">
        <v>641</v>
      </c>
      <c r="C155" s="184">
        <v>2405070437</v>
      </c>
      <c r="D155" s="184" t="s">
        <v>3017</v>
      </c>
      <c r="E155" s="184" t="s">
        <v>3875</v>
      </c>
      <c r="F155" s="184" t="s">
        <v>3876</v>
      </c>
      <c r="G155" s="184" t="s">
        <v>3877</v>
      </c>
      <c r="H155" s="184" t="s">
        <v>3004</v>
      </c>
      <c r="I155" s="184" t="s">
        <v>3878</v>
      </c>
      <c r="J155" s="210" t="s">
        <v>3879</v>
      </c>
      <c r="K155" s="218" t="s">
        <v>3007</v>
      </c>
      <c r="L155" s="218" t="s">
        <v>3008</v>
      </c>
      <c r="M155" s="216" t="s">
        <v>3009</v>
      </c>
    </row>
    <row r="156" spans="1:14">
      <c r="A156" s="184" t="s">
        <v>645</v>
      </c>
      <c r="B156" s="184" t="s">
        <v>644</v>
      </c>
      <c r="C156" s="184">
        <v>2405061120</v>
      </c>
      <c r="D156" s="184" t="s">
        <v>3017</v>
      </c>
      <c r="E156" s="184" t="s">
        <v>3880</v>
      </c>
      <c r="F156" s="184" t="s">
        <v>3881</v>
      </c>
      <c r="G156" s="184" t="s">
        <v>3882</v>
      </c>
      <c r="H156" s="184" t="s">
        <v>3004</v>
      </c>
      <c r="I156" s="184" t="s">
        <v>3883</v>
      </c>
      <c r="J156" s="210" t="s">
        <v>3884</v>
      </c>
      <c r="K156" s="218" t="s">
        <v>3007</v>
      </c>
      <c r="L156" s="218" t="s">
        <v>3008</v>
      </c>
      <c r="M156" s="216" t="s">
        <v>3009</v>
      </c>
    </row>
    <row r="157" spans="1:14">
      <c r="A157" s="184" t="s">
        <v>648</v>
      </c>
      <c r="B157" s="184" t="s">
        <v>647</v>
      </c>
      <c r="C157" s="184">
        <v>2102150405</v>
      </c>
      <c r="D157" s="184" t="s">
        <v>3000</v>
      </c>
      <c r="E157" s="184" t="s">
        <v>3885</v>
      </c>
      <c r="F157" s="184" t="s">
        <v>3886</v>
      </c>
      <c r="G157" s="184" t="s">
        <v>3887</v>
      </c>
      <c r="H157" s="184" t="s">
        <v>3004</v>
      </c>
      <c r="I157" s="184" t="s">
        <v>3888</v>
      </c>
      <c r="J157" s="210" t="s">
        <v>3889</v>
      </c>
      <c r="K157" s="218" t="s">
        <v>3007</v>
      </c>
      <c r="L157" s="218" t="s">
        <v>3008</v>
      </c>
      <c r="M157" s="216" t="s">
        <v>3009</v>
      </c>
    </row>
    <row r="158" spans="1:14">
      <c r="A158" s="184" t="s">
        <v>651</v>
      </c>
      <c r="B158" s="184" t="s">
        <v>650</v>
      </c>
      <c r="C158" s="184">
        <v>2405070750</v>
      </c>
      <c r="D158" s="184" t="s">
        <v>3017</v>
      </c>
      <c r="E158" s="184" t="s">
        <v>3890</v>
      </c>
      <c r="F158" s="184" t="s">
        <v>3891</v>
      </c>
      <c r="G158" s="184" t="s">
        <v>3892</v>
      </c>
      <c r="H158" s="184" t="s">
        <v>3004</v>
      </c>
      <c r="I158" s="184" t="s">
        <v>3893</v>
      </c>
      <c r="J158" s="210" t="s">
        <v>3894</v>
      </c>
      <c r="K158" s="218" t="s">
        <v>3007</v>
      </c>
      <c r="L158" s="218" t="s">
        <v>3008</v>
      </c>
      <c r="M158" s="216" t="s">
        <v>3009</v>
      </c>
    </row>
    <row r="159" spans="1:14">
      <c r="A159" s="184" t="s">
        <v>654</v>
      </c>
      <c r="B159" s="184" t="s">
        <v>653</v>
      </c>
      <c r="C159" s="184">
        <v>2405070462</v>
      </c>
      <c r="D159" s="184" t="s">
        <v>3017</v>
      </c>
      <c r="E159" s="184" t="s">
        <v>3895</v>
      </c>
      <c r="F159" s="184" t="s">
        <v>3896</v>
      </c>
      <c r="G159" s="184" t="s">
        <v>3897</v>
      </c>
      <c r="H159" s="184" t="s">
        <v>3004</v>
      </c>
      <c r="I159" s="184" t="s">
        <v>3898</v>
      </c>
      <c r="J159" s="210" t="s">
        <v>3899</v>
      </c>
      <c r="K159" s="218" t="s">
        <v>3007</v>
      </c>
      <c r="L159" s="218" t="s">
        <v>3008</v>
      </c>
      <c r="M159" s="216" t="s">
        <v>3009</v>
      </c>
    </row>
    <row r="160" spans="1:14">
      <c r="A160" s="184" t="s">
        <v>657</v>
      </c>
      <c r="B160" s="184" t="s">
        <v>656</v>
      </c>
      <c r="C160" s="184">
        <v>2205180224</v>
      </c>
      <c r="D160" s="184" t="s">
        <v>3000</v>
      </c>
      <c r="E160" s="184" t="s">
        <v>3900</v>
      </c>
      <c r="F160" s="184" t="s">
        <v>3901</v>
      </c>
      <c r="G160" s="184" t="s">
        <v>3902</v>
      </c>
      <c r="H160" s="184" t="s">
        <v>3004</v>
      </c>
      <c r="I160" s="184" t="s">
        <v>3903</v>
      </c>
      <c r="J160" s="210" t="s">
        <v>3904</v>
      </c>
      <c r="K160" s="218" t="s">
        <v>3007</v>
      </c>
      <c r="L160" s="218" t="s">
        <v>3008</v>
      </c>
      <c r="M160" s="216" t="s">
        <v>3009</v>
      </c>
    </row>
    <row r="161" spans="1:14">
      <c r="A161" s="184" t="s">
        <v>660</v>
      </c>
      <c r="B161" s="184" t="s">
        <v>659</v>
      </c>
      <c r="C161" s="184">
        <v>2405070714</v>
      </c>
      <c r="D161" s="184" t="s">
        <v>3017</v>
      </c>
      <c r="E161" s="184" t="s">
        <v>3905</v>
      </c>
      <c r="F161" s="184" t="s">
        <v>3906</v>
      </c>
      <c r="G161" s="184" t="s">
        <v>3907</v>
      </c>
      <c r="H161" s="184" t="s">
        <v>3004</v>
      </c>
      <c r="I161" s="184" t="s">
        <v>3908</v>
      </c>
      <c r="J161" s="210" t="s">
        <v>3909</v>
      </c>
      <c r="K161" s="218" t="s">
        <v>3007</v>
      </c>
      <c r="L161" s="218" t="s">
        <v>3008</v>
      </c>
      <c r="M161" s="216" t="s">
        <v>3009</v>
      </c>
    </row>
    <row r="162" spans="1:14">
      <c r="A162" s="184" t="s">
        <v>663</v>
      </c>
      <c r="B162" s="184" t="s">
        <v>662</v>
      </c>
      <c r="C162" s="184">
        <v>2201121313</v>
      </c>
      <c r="D162" s="184" t="s">
        <v>3000</v>
      </c>
      <c r="E162" s="184" t="s">
        <v>3910</v>
      </c>
      <c r="F162" s="184" t="s">
        <v>3911</v>
      </c>
      <c r="G162" s="184" t="s">
        <v>3912</v>
      </c>
      <c r="H162" s="184" t="s">
        <v>3004</v>
      </c>
      <c r="I162" s="184" t="s">
        <v>3913</v>
      </c>
      <c r="J162" s="210" t="s">
        <v>3914</v>
      </c>
      <c r="K162" s="218" t="s">
        <v>3007</v>
      </c>
      <c r="L162" s="218" t="s">
        <v>3008</v>
      </c>
      <c r="M162" s="216" t="s">
        <v>3009</v>
      </c>
    </row>
    <row r="163" spans="1:14">
      <c r="A163" s="184" t="s">
        <v>666</v>
      </c>
      <c r="B163" s="184" t="s">
        <v>665</v>
      </c>
      <c r="C163" s="184">
        <v>2405061058</v>
      </c>
      <c r="D163" s="184" t="s">
        <v>3017</v>
      </c>
      <c r="E163" s="184" t="s">
        <v>3915</v>
      </c>
      <c r="F163" s="184" t="s">
        <v>3916</v>
      </c>
      <c r="G163" s="184" t="s">
        <v>3917</v>
      </c>
      <c r="H163" s="184" t="s">
        <v>3004</v>
      </c>
      <c r="I163" s="184" t="s">
        <v>3918</v>
      </c>
      <c r="J163" s="210" t="s">
        <v>3919</v>
      </c>
      <c r="K163" s="218" t="s">
        <v>3007</v>
      </c>
      <c r="L163" s="218" t="s">
        <v>3008</v>
      </c>
      <c r="M163" s="216" t="s">
        <v>3009</v>
      </c>
    </row>
    <row r="164" spans="1:14">
      <c r="A164" s="184" t="s">
        <v>669</v>
      </c>
      <c r="B164" s="184" t="s">
        <v>668</v>
      </c>
      <c r="C164" s="184">
        <v>2405061059</v>
      </c>
      <c r="D164" s="184" t="s">
        <v>3017</v>
      </c>
      <c r="E164" s="184" t="s">
        <v>3920</v>
      </c>
      <c r="F164" s="184" t="s">
        <v>3921</v>
      </c>
      <c r="G164" s="184" t="s">
        <v>3922</v>
      </c>
      <c r="H164" s="184" t="s">
        <v>3004</v>
      </c>
      <c r="I164" s="184" t="s">
        <v>3923</v>
      </c>
      <c r="J164" s="210" t="s">
        <v>3924</v>
      </c>
      <c r="K164" s="218" t="s">
        <v>3007</v>
      </c>
      <c r="L164" s="218" t="s">
        <v>3008</v>
      </c>
      <c r="M164" s="216" t="s">
        <v>3009</v>
      </c>
    </row>
    <row r="165" spans="1:14">
      <c r="A165" s="184" t="s">
        <v>672</v>
      </c>
      <c r="B165" s="184" t="s">
        <v>671</v>
      </c>
      <c r="C165" s="184">
        <v>2205180279</v>
      </c>
      <c r="D165" s="184" t="s">
        <v>3000</v>
      </c>
      <c r="E165" s="184" t="s">
        <v>3925</v>
      </c>
      <c r="F165" s="184" t="s">
        <v>3926</v>
      </c>
      <c r="G165" s="184" t="s">
        <v>3927</v>
      </c>
      <c r="H165" s="184" t="s">
        <v>3004</v>
      </c>
      <c r="I165" s="184" t="s">
        <v>3928</v>
      </c>
      <c r="J165" s="210" t="s">
        <v>3929</v>
      </c>
      <c r="K165" s="218" t="s">
        <v>3007</v>
      </c>
      <c r="L165" s="218" t="s">
        <v>3008</v>
      </c>
      <c r="M165" s="216" t="s">
        <v>3009</v>
      </c>
    </row>
    <row r="166" spans="1:14">
      <c r="A166" s="184" t="s">
        <v>675</v>
      </c>
      <c r="B166" s="184" t="s">
        <v>674</v>
      </c>
      <c r="C166" s="184">
        <v>2310230164</v>
      </c>
      <c r="D166" s="184" t="s">
        <v>3017</v>
      </c>
      <c r="E166" s="184" t="s">
        <v>3930</v>
      </c>
      <c r="F166" s="184" t="s">
        <v>3931</v>
      </c>
      <c r="G166" s="184" t="s">
        <v>3932</v>
      </c>
      <c r="H166" s="184" t="s">
        <v>3004</v>
      </c>
      <c r="I166" s="184" t="s">
        <v>3933</v>
      </c>
      <c r="J166" s="210" t="s">
        <v>3934</v>
      </c>
      <c r="K166" s="218" t="s">
        <v>3007</v>
      </c>
      <c r="L166" s="218" t="s">
        <v>3008</v>
      </c>
      <c r="M166" s="216" t="s">
        <v>3009</v>
      </c>
    </row>
    <row r="167" spans="1:14" s="242" customFormat="1">
      <c r="A167" s="243" t="s">
        <v>678</v>
      </c>
      <c r="B167" s="243" t="s">
        <v>677</v>
      </c>
      <c r="C167" s="243">
        <v>2310230205</v>
      </c>
      <c r="D167" s="243" t="s">
        <v>3017</v>
      </c>
      <c r="E167" s="243" t="s">
        <v>3935</v>
      </c>
      <c r="F167" s="243" t="s">
        <v>3936</v>
      </c>
      <c r="G167" s="243" t="s">
        <v>3937</v>
      </c>
      <c r="H167" s="243" t="s">
        <v>3004</v>
      </c>
      <c r="I167" s="243" t="s">
        <v>3938</v>
      </c>
      <c r="J167" s="245" t="s">
        <v>3939</v>
      </c>
      <c r="K167" s="249" t="s">
        <v>3007</v>
      </c>
      <c r="L167" s="249" t="s">
        <v>3008</v>
      </c>
      <c r="M167" s="247" t="s">
        <v>3009</v>
      </c>
      <c r="N167" s="248"/>
    </row>
    <row r="168" spans="1:14">
      <c r="A168" s="184" t="s">
        <v>681</v>
      </c>
      <c r="B168" s="184" t="s">
        <v>680</v>
      </c>
      <c r="C168" s="184">
        <v>2310230152</v>
      </c>
      <c r="D168" s="184" t="s">
        <v>3017</v>
      </c>
      <c r="E168" s="184" t="s">
        <v>3940</v>
      </c>
      <c r="F168" s="184" t="s">
        <v>3941</v>
      </c>
      <c r="G168" s="184" t="s">
        <v>3942</v>
      </c>
      <c r="H168" s="184" t="s">
        <v>3004</v>
      </c>
      <c r="I168" s="184" t="s">
        <v>3943</v>
      </c>
      <c r="J168" s="210" t="s">
        <v>3944</v>
      </c>
      <c r="K168" s="218" t="s">
        <v>3007</v>
      </c>
      <c r="L168" s="218" t="s">
        <v>3008</v>
      </c>
      <c r="M168" s="216" t="s">
        <v>3009</v>
      </c>
    </row>
    <row r="169" spans="1:14">
      <c r="A169" s="184" t="s">
        <v>684</v>
      </c>
      <c r="B169" s="184" t="s">
        <v>683</v>
      </c>
      <c r="C169" s="184">
        <v>2310230188</v>
      </c>
      <c r="D169" s="184" t="s">
        <v>3017</v>
      </c>
      <c r="E169" s="184" t="s">
        <v>3945</v>
      </c>
      <c r="F169" s="184" t="s">
        <v>3946</v>
      </c>
      <c r="G169" s="184" t="s">
        <v>3947</v>
      </c>
      <c r="H169" s="184" t="s">
        <v>3004</v>
      </c>
      <c r="I169" s="184" t="s">
        <v>3948</v>
      </c>
      <c r="J169" s="210" t="s">
        <v>3949</v>
      </c>
      <c r="K169" s="218" t="s">
        <v>3007</v>
      </c>
      <c r="L169" s="218" t="s">
        <v>3008</v>
      </c>
      <c r="M169" s="216" t="s">
        <v>3009</v>
      </c>
    </row>
    <row r="170" spans="1:14">
      <c r="A170" s="184" t="s">
        <v>687</v>
      </c>
      <c r="B170" s="184" t="s">
        <v>686</v>
      </c>
      <c r="C170" s="184">
        <v>2405070716</v>
      </c>
      <c r="D170" s="184" t="s">
        <v>3017</v>
      </c>
      <c r="E170" s="184" t="s">
        <v>3950</v>
      </c>
      <c r="F170" s="185" t="s">
        <v>3951</v>
      </c>
      <c r="G170" s="184" t="s">
        <v>3952</v>
      </c>
      <c r="H170" s="184" t="s">
        <v>3004</v>
      </c>
      <c r="I170" s="184" t="s">
        <v>3953</v>
      </c>
      <c r="J170" s="210" t="s">
        <v>3954</v>
      </c>
      <c r="K170" s="218" t="s">
        <v>3007</v>
      </c>
      <c r="L170" s="218" t="s">
        <v>3008</v>
      </c>
      <c r="M170" s="216" t="s">
        <v>3009</v>
      </c>
    </row>
    <row r="171" spans="1:14">
      <c r="A171" s="184" t="s">
        <v>690</v>
      </c>
      <c r="B171" s="184" t="s">
        <v>689</v>
      </c>
      <c r="C171" s="184">
        <v>2405070426</v>
      </c>
      <c r="D171" s="184" t="s">
        <v>3017</v>
      </c>
      <c r="E171" s="184" t="s">
        <v>3955</v>
      </c>
      <c r="F171" s="184" t="s">
        <v>3956</v>
      </c>
      <c r="G171" s="184" t="s">
        <v>3957</v>
      </c>
      <c r="H171" s="184" t="s">
        <v>3004</v>
      </c>
      <c r="I171" s="184" t="s">
        <v>3958</v>
      </c>
      <c r="J171" s="210" t="s">
        <v>3959</v>
      </c>
      <c r="K171" s="218" t="s">
        <v>3007</v>
      </c>
      <c r="L171" s="218" t="s">
        <v>3008</v>
      </c>
      <c r="M171" s="216" t="s">
        <v>3009</v>
      </c>
    </row>
  </sheetData>
  <phoneticPr fontId="3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9EA9-FA97-4B95-A6F5-770BC05D06EF}">
  <sheetPr filterMode="1"/>
  <dimension ref="A1:V512"/>
  <sheetViews>
    <sheetView showRowColHeaders="0" workbookViewId="0">
      <pane ySplit="1" topLeftCell="A2" activePane="bottomLeft" state="frozen"/>
      <selection pane="bottomLeft"/>
    </sheetView>
  </sheetViews>
  <sheetFormatPr defaultColWidth="9.453125" defaultRowHeight="12.5"/>
  <cols>
    <col min="1" max="1" width="9.453125" style="112"/>
    <col min="2" max="2" width="33.453125" style="117" bestFit="1" customWidth="1"/>
    <col min="3" max="3" width="13.54296875" style="112" customWidth="1"/>
    <col min="4" max="4" width="13.453125" style="117" customWidth="1"/>
    <col min="5" max="5" width="13.54296875" style="117" hidden="1" customWidth="1"/>
    <col min="6" max="6" width="0" style="112" hidden="1" customWidth="1"/>
    <col min="7" max="7" width="15.54296875" style="112" customWidth="1"/>
    <col min="8" max="10" width="5.453125" style="112" bestFit="1" customWidth="1"/>
    <col min="11" max="12" width="9.453125" style="117"/>
    <col min="13" max="13" width="16.453125" style="117" customWidth="1"/>
    <col min="14" max="16384" width="9.453125" style="117"/>
  </cols>
  <sheetData>
    <row r="1" spans="1:15" ht="12" customHeight="1">
      <c r="A1" s="115" t="s">
        <v>3960</v>
      </c>
      <c r="B1" s="114" t="s">
        <v>3961</v>
      </c>
      <c r="C1" s="115" t="s">
        <v>2987</v>
      </c>
      <c r="D1" s="114" t="s">
        <v>3962</v>
      </c>
      <c r="E1" s="114" t="s">
        <v>3963</v>
      </c>
      <c r="F1" s="115" t="s">
        <v>3964</v>
      </c>
      <c r="G1" s="115" t="s">
        <v>3965</v>
      </c>
      <c r="H1" s="111" t="s">
        <v>3966</v>
      </c>
      <c r="I1" s="111" t="s">
        <v>3967</v>
      </c>
      <c r="J1" s="111" t="s">
        <v>3968</v>
      </c>
      <c r="M1" s="117" t="s">
        <v>3969</v>
      </c>
      <c r="O1" s="116"/>
    </row>
    <row r="2" spans="1:15" ht="12" customHeight="1">
      <c r="A2" s="120">
        <v>1</v>
      </c>
      <c r="B2" s="121" t="s">
        <v>3970</v>
      </c>
      <c r="C2" s="120" t="s">
        <v>3971</v>
      </c>
      <c r="D2" s="121" t="s">
        <v>3972</v>
      </c>
      <c r="E2" s="117" t="s">
        <v>3973</v>
      </c>
      <c r="F2" s="112" t="s">
        <v>3974</v>
      </c>
      <c r="G2" s="120" t="s">
        <v>3975</v>
      </c>
    </row>
    <row r="3" spans="1:15" ht="12" customHeight="1">
      <c r="A3" s="112">
        <f t="shared" ref="A3:A4" si="0">A2+1</f>
        <v>2</v>
      </c>
      <c r="B3" s="117" t="s">
        <v>3976</v>
      </c>
      <c r="C3" s="112" t="s">
        <v>572</v>
      </c>
      <c r="D3" s="117" t="s">
        <v>3977</v>
      </c>
      <c r="E3" s="117" t="str">
        <f t="shared" ref="E3:E4" si="1">"10.10."&amp;A3&amp;".254"</f>
        <v>10.10.2.254</v>
      </c>
      <c r="F3" s="112" t="s">
        <v>3974</v>
      </c>
      <c r="G3" s="112" t="s">
        <v>3978</v>
      </c>
      <c r="I3" s="112" t="s">
        <v>572</v>
      </c>
      <c r="M3" s="117" t="s">
        <v>3979</v>
      </c>
    </row>
    <row r="4" spans="1:15" ht="12" customHeight="1">
      <c r="A4" s="112">
        <f t="shared" si="0"/>
        <v>3</v>
      </c>
      <c r="B4" s="117" t="s">
        <v>3976</v>
      </c>
      <c r="C4" s="112" t="s">
        <v>572</v>
      </c>
      <c r="D4" s="117" t="s">
        <v>3980</v>
      </c>
      <c r="E4" s="117" t="str">
        <f t="shared" si="1"/>
        <v>10.10.3.254</v>
      </c>
      <c r="F4" s="112" t="s">
        <v>3974</v>
      </c>
      <c r="G4" s="112" t="s">
        <v>3978</v>
      </c>
      <c r="J4" s="112" t="s">
        <v>572</v>
      </c>
      <c r="M4" s="117" t="s">
        <v>3981</v>
      </c>
    </row>
    <row r="5" spans="1:15" ht="12" customHeight="1">
      <c r="A5" s="112">
        <f>A4+1</f>
        <v>4</v>
      </c>
      <c r="B5" s="117" t="s">
        <v>3982</v>
      </c>
      <c r="C5" s="112" t="s">
        <v>593</v>
      </c>
      <c r="D5" s="117" t="s">
        <v>3983</v>
      </c>
      <c r="E5" s="117" t="str">
        <f>"10.10."&amp;A5&amp;".254"</f>
        <v>10.10.4.254</v>
      </c>
      <c r="F5" s="112" t="s">
        <v>3974</v>
      </c>
      <c r="G5" s="112" t="s">
        <v>3978</v>
      </c>
      <c r="H5" s="112" t="s">
        <v>593</v>
      </c>
      <c r="M5" s="117" t="s">
        <v>3984</v>
      </c>
    </row>
    <row r="6" spans="1:15" ht="13.5" customHeight="1">
      <c r="A6" s="112">
        <f>A5+1</f>
        <v>5</v>
      </c>
      <c r="B6" s="117" t="s">
        <v>3982</v>
      </c>
      <c r="C6" s="112" t="s">
        <v>593</v>
      </c>
      <c r="D6" s="117" t="s">
        <v>3985</v>
      </c>
      <c r="E6" s="117" t="str">
        <f>"10.10."&amp;A6&amp;".254"</f>
        <v>10.10.5.254</v>
      </c>
      <c r="F6" s="112" t="s">
        <v>3974</v>
      </c>
      <c r="G6" s="112" t="s">
        <v>3978</v>
      </c>
      <c r="I6" s="112" t="s">
        <v>593</v>
      </c>
      <c r="M6" s="117" t="s">
        <v>3986</v>
      </c>
    </row>
    <row r="7" spans="1:15" ht="14.25" customHeight="1">
      <c r="A7" s="112">
        <f>A6+1</f>
        <v>6</v>
      </c>
      <c r="B7" s="117" t="s">
        <v>3982</v>
      </c>
      <c r="C7" s="112" t="s">
        <v>593</v>
      </c>
      <c r="D7" s="117" t="s">
        <v>3987</v>
      </c>
      <c r="E7" s="117" t="str">
        <f>"10.10."&amp;A7&amp;".254"</f>
        <v>10.10.6.254</v>
      </c>
      <c r="F7" s="112" t="s">
        <v>3974</v>
      </c>
      <c r="G7" s="112" t="s">
        <v>3978</v>
      </c>
      <c r="J7" s="112" t="s">
        <v>593</v>
      </c>
      <c r="M7" s="117" t="s">
        <v>3988</v>
      </c>
    </row>
    <row r="8" spans="1:15" ht="12" customHeight="1">
      <c r="A8" s="112">
        <f>A7+1</f>
        <v>7</v>
      </c>
      <c r="B8" s="117" t="s">
        <v>3982</v>
      </c>
      <c r="C8" s="112" t="s">
        <v>617</v>
      </c>
      <c r="D8" s="117" t="s">
        <v>3989</v>
      </c>
      <c r="E8" s="117" t="str">
        <f>"10.10."&amp;A8&amp;".254"</f>
        <v>10.10.7.254</v>
      </c>
      <c r="F8" s="112" t="s">
        <v>3974</v>
      </c>
      <c r="G8" s="112" t="s">
        <v>3978</v>
      </c>
      <c r="H8" s="112" t="s">
        <v>617</v>
      </c>
      <c r="M8" s="117" t="s">
        <v>3990</v>
      </c>
    </row>
    <row r="9" spans="1:15" ht="12" customHeight="1">
      <c r="A9" s="112">
        <f>A8+1</f>
        <v>8</v>
      </c>
      <c r="B9" s="117" t="s">
        <v>3982</v>
      </c>
      <c r="C9" s="112" t="s">
        <v>626</v>
      </c>
      <c r="D9" s="117" t="s">
        <v>3991</v>
      </c>
      <c r="E9" s="117" t="str">
        <f>"10.10."&amp;A9&amp;".254"</f>
        <v>10.10.8.254</v>
      </c>
      <c r="F9" s="112" t="s">
        <v>3974</v>
      </c>
      <c r="G9" s="112" t="s">
        <v>3978</v>
      </c>
      <c r="I9" s="112" t="s">
        <v>626</v>
      </c>
      <c r="M9" s="117" t="s">
        <v>3992</v>
      </c>
    </row>
    <row r="10" spans="1:15" ht="14.25" hidden="1" customHeight="1">
      <c r="A10" s="112">
        <v>9</v>
      </c>
      <c r="D10" s="117" t="s">
        <v>3993</v>
      </c>
      <c r="E10" s="117" t="s">
        <v>3994</v>
      </c>
      <c r="F10" s="112" t="s">
        <v>3974</v>
      </c>
      <c r="G10" s="112" t="s">
        <v>3978</v>
      </c>
    </row>
    <row r="11" spans="1:15" ht="14.15" hidden="1" customHeight="1">
      <c r="A11" s="112">
        <v>10</v>
      </c>
      <c r="D11" s="117" t="s">
        <v>3995</v>
      </c>
      <c r="E11" s="117" t="str">
        <f t="shared" ref="E11:E32" si="2">"10.10."&amp;A11&amp;".254"</f>
        <v>10.10.10.254</v>
      </c>
      <c r="F11" s="112" t="s">
        <v>3974</v>
      </c>
      <c r="G11" s="112" t="s">
        <v>3978</v>
      </c>
    </row>
    <row r="12" spans="1:15" ht="13.5" hidden="1" customHeight="1">
      <c r="A12" s="112">
        <f t="shared" ref="A12:A31" si="3">A11+1</f>
        <v>11</v>
      </c>
      <c r="D12" s="117" t="s">
        <v>3996</v>
      </c>
      <c r="E12" s="117" t="str">
        <f t="shared" si="2"/>
        <v>10.10.11.254</v>
      </c>
      <c r="F12" s="112" t="s">
        <v>3974</v>
      </c>
      <c r="G12" s="112" t="s">
        <v>3978</v>
      </c>
    </row>
    <row r="13" spans="1:15" ht="13.5" hidden="1" customHeight="1">
      <c r="A13" s="112">
        <f t="shared" si="3"/>
        <v>12</v>
      </c>
      <c r="D13" s="117" t="s">
        <v>3997</v>
      </c>
      <c r="E13" s="117" t="str">
        <f t="shared" si="2"/>
        <v>10.10.12.254</v>
      </c>
      <c r="F13" s="112" t="s">
        <v>3974</v>
      </c>
      <c r="G13" s="112" t="s">
        <v>3978</v>
      </c>
    </row>
    <row r="14" spans="1:15" ht="12.65" hidden="1" customHeight="1">
      <c r="A14" s="112">
        <f t="shared" si="3"/>
        <v>13</v>
      </c>
      <c r="D14" s="117" t="s">
        <v>3998</v>
      </c>
      <c r="E14" s="117" t="str">
        <f t="shared" si="2"/>
        <v>10.10.13.254</v>
      </c>
      <c r="F14" s="112" t="s">
        <v>3974</v>
      </c>
      <c r="G14" s="112" t="s">
        <v>3978</v>
      </c>
    </row>
    <row r="15" spans="1:15" ht="12" hidden="1" customHeight="1">
      <c r="A15" s="112">
        <f t="shared" si="3"/>
        <v>14</v>
      </c>
      <c r="D15" s="117" t="s">
        <v>3999</v>
      </c>
      <c r="E15" s="117" t="str">
        <f t="shared" si="2"/>
        <v>10.10.14.254</v>
      </c>
      <c r="F15" s="112" t="s">
        <v>3974</v>
      </c>
      <c r="G15" s="112" t="s">
        <v>3978</v>
      </c>
    </row>
    <row r="16" spans="1:15" ht="13.4" hidden="1" customHeight="1">
      <c r="A16" s="112">
        <f t="shared" si="3"/>
        <v>15</v>
      </c>
      <c r="D16" s="117" t="s">
        <v>4000</v>
      </c>
      <c r="E16" s="117" t="str">
        <f t="shared" si="2"/>
        <v>10.10.15.254</v>
      </c>
      <c r="F16" s="112" t="s">
        <v>3974</v>
      </c>
      <c r="G16" s="112" t="s">
        <v>3978</v>
      </c>
    </row>
    <row r="17" spans="1:7" ht="14.25" hidden="1" customHeight="1">
      <c r="A17" s="112">
        <f t="shared" si="3"/>
        <v>16</v>
      </c>
      <c r="D17" s="117" t="s">
        <v>4001</v>
      </c>
      <c r="E17" s="117" t="str">
        <f t="shared" si="2"/>
        <v>10.10.16.254</v>
      </c>
      <c r="F17" s="112" t="s">
        <v>3974</v>
      </c>
      <c r="G17" s="112" t="s">
        <v>3978</v>
      </c>
    </row>
    <row r="18" spans="1:7" ht="12.65" hidden="1" customHeight="1">
      <c r="A18" s="112">
        <f t="shared" si="3"/>
        <v>17</v>
      </c>
      <c r="D18" s="117" t="s">
        <v>4002</v>
      </c>
      <c r="E18" s="117" t="str">
        <f t="shared" si="2"/>
        <v>10.10.17.254</v>
      </c>
      <c r="F18" s="112" t="s">
        <v>3974</v>
      </c>
      <c r="G18" s="112" t="s">
        <v>3978</v>
      </c>
    </row>
    <row r="19" spans="1:7" ht="12.65" hidden="1" customHeight="1">
      <c r="A19" s="112">
        <f t="shared" si="3"/>
        <v>18</v>
      </c>
      <c r="D19" s="117" t="s">
        <v>4003</v>
      </c>
      <c r="E19" s="117" t="str">
        <f t="shared" si="2"/>
        <v>10.10.18.254</v>
      </c>
      <c r="F19" s="112" t="s">
        <v>3974</v>
      </c>
      <c r="G19" s="112" t="s">
        <v>3978</v>
      </c>
    </row>
    <row r="20" spans="1:7" ht="12" hidden="1" customHeight="1">
      <c r="A20" s="112">
        <f t="shared" si="3"/>
        <v>19</v>
      </c>
      <c r="D20" s="117" t="s">
        <v>4004</v>
      </c>
      <c r="E20" s="117" t="str">
        <f t="shared" si="2"/>
        <v>10.10.19.254</v>
      </c>
      <c r="F20" s="112" t="s">
        <v>3974</v>
      </c>
      <c r="G20" s="112" t="s">
        <v>3978</v>
      </c>
    </row>
    <row r="21" spans="1:7" ht="13.5" hidden="1" customHeight="1">
      <c r="A21" s="112">
        <f t="shared" si="3"/>
        <v>20</v>
      </c>
      <c r="D21" s="117" t="s">
        <v>4005</v>
      </c>
      <c r="E21" s="117" t="str">
        <f t="shared" si="2"/>
        <v>10.10.20.254</v>
      </c>
      <c r="F21" s="112" t="s">
        <v>3974</v>
      </c>
      <c r="G21" s="112" t="s">
        <v>3978</v>
      </c>
    </row>
    <row r="22" spans="1:7" ht="13.5" hidden="1" customHeight="1">
      <c r="A22" s="112">
        <f t="shared" si="3"/>
        <v>21</v>
      </c>
      <c r="D22" s="117" t="s">
        <v>4006</v>
      </c>
      <c r="E22" s="117" t="str">
        <f t="shared" si="2"/>
        <v>10.10.21.254</v>
      </c>
      <c r="F22" s="112" t="s">
        <v>3974</v>
      </c>
      <c r="G22" s="112" t="s">
        <v>3978</v>
      </c>
    </row>
    <row r="23" spans="1:7" ht="12.75" hidden="1" customHeight="1">
      <c r="A23" s="112">
        <f t="shared" si="3"/>
        <v>22</v>
      </c>
      <c r="D23" s="117" t="s">
        <v>4007</v>
      </c>
      <c r="E23" s="117" t="str">
        <f t="shared" si="2"/>
        <v>10.10.22.254</v>
      </c>
      <c r="F23" s="112" t="s">
        <v>3974</v>
      </c>
      <c r="G23" s="112" t="s">
        <v>3978</v>
      </c>
    </row>
    <row r="24" spans="1:7" ht="12" hidden="1" customHeight="1">
      <c r="A24" s="112">
        <f t="shared" si="3"/>
        <v>23</v>
      </c>
      <c r="D24" s="117" t="s">
        <v>4008</v>
      </c>
      <c r="E24" s="117" t="str">
        <f t="shared" si="2"/>
        <v>10.10.23.254</v>
      </c>
      <c r="F24" s="112" t="s">
        <v>3974</v>
      </c>
      <c r="G24" s="112" t="s">
        <v>3978</v>
      </c>
    </row>
    <row r="25" spans="1:7" ht="12" hidden="1" customHeight="1">
      <c r="A25" s="112">
        <f t="shared" si="3"/>
        <v>24</v>
      </c>
      <c r="D25" s="117" t="s">
        <v>4009</v>
      </c>
      <c r="E25" s="117" t="str">
        <f t="shared" si="2"/>
        <v>10.10.24.254</v>
      </c>
      <c r="F25" s="112" t="s">
        <v>3974</v>
      </c>
      <c r="G25" s="112" t="s">
        <v>3978</v>
      </c>
    </row>
    <row r="26" spans="1:7" ht="12" hidden="1" customHeight="1">
      <c r="A26" s="112">
        <f t="shared" si="3"/>
        <v>25</v>
      </c>
      <c r="D26" s="117" t="s">
        <v>4010</v>
      </c>
      <c r="E26" s="117" t="str">
        <f t="shared" si="2"/>
        <v>10.10.25.254</v>
      </c>
      <c r="F26" s="112" t="s">
        <v>3974</v>
      </c>
      <c r="G26" s="112" t="s">
        <v>3978</v>
      </c>
    </row>
    <row r="27" spans="1:7" ht="12" hidden="1" customHeight="1">
      <c r="A27" s="112">
        <f t="shared" si="3"/>
        <v>26</v>
      </c>
      <c r="D27" s="117" t="s">
        <v>4011</v>
      </c>
      <c r="E27" s="117" t="str">
        <f t="shared" si="2"/>
        <v>10.10.26.254</v>
      </c>
      <c r="F27" s="112" t="s">
        <v>3974</v>
      </c>
      <c r="G27" s="112" t="s">
        <v>3978</v>
      </c>
    </row>
    <row r="28" spans="1:7" ht="12" hidden="1" customHeight="1">
      <c r="A28" s="112">
        <f t="shared" si="3"/>
        <v>27</v>
      </c>
      <c r="D28" s="117" t="s">
        <v>4012</v>
      </c>
      <c r="E28" s="117" t="str">
        <f t="shared" si="2"/>
        <v>10.10.27.254</v>
      </c>
      <c r="F28" s="112" t="s">
        <v>3974</v>
      </c>
      <c r="G28" s="112" t="s">
        <v>3978</v>
      </c>
    </row>
    <row r="29" spans="1:7" ht="12" hidden="1" customHeight="1">
      <c r="A29" s="112">
        <f t="shared" si="3"/>
        <v>28</v>
      </c>
      <c r="D29" s="117" t="s">
        <v>4013</v>
      </c>
      <c r="E29" s="117" t="str">
        <f t="shared" si="2"/>
        <v>10.10.28.254</v>
      </c>
      <c r="F29" s="112" t="s">
        <v>3974</v>
      </c>
      <c r="G29" s="112" t="s">
        <v>3978</v>
      </c>
    </row>
    <row r="30" spans="1:7" ht="12" hidden="1" customHeight="1">
      <c r="A30" s="112">
        <f t="shared" si="3"/>
        <v>29</v>
      </c>
      <c r="D30" s="117" t="s">
        <v>4014</v>
      </c>
      <c r="E30" s="117" t="str">
        <f t="shared" si="2"/>
        <v>10.10.29.254</v>
      </c>
      <c r="F30" s="112" t="s">
        <v>3974</v>
      </c>
      <c r="G30" s="112" t="s">
        <v>3978</v>
      </c>
    </row>
    <row r="31" spans="1:7" ht="12" hidden="1" customHeight="1">
      <c r="A31" s="112">
        <f t="shared" si="3"/>
        <v>30</v>
      </c>
      <c r="D31" s="117" t="s">
        <v>4015</v>
      </c>
      <c r="E31" s="117" t="str">
        <f t="shared" si="2"/>
        <v>10.10.30.254</v>
      </c>
      <c r="F31" s="112" t="s">
        <v>3974</v>
      </c>
      <c r="G31" s="112" t="s">
        <v>3978</v>
      </c>
    </row>
    <row r="32" spans="1:7" ht="12" hidden="1" customHeight="1">
      <c r="A32" s="112">
        <v>255</v>
      </c>
      <c r="D32" s="117" t="s">
        <v>4016</v>
      </c>
      <c r="E32" s="117" t="str">
        <f t="shared" si="2"/>
        <v>10.10.255.254</v>
      </c>
      <c r="F32" s="112" t="s">
        <v>3974</v>
      </c>
      <c r="G32" s="112" t="s">
        <v>3978</v>
      </c>
    </row>
    <row r="33" spans="1:7" ht="12" hidden="1" customHeight="1">
      <c r="A33" s="119">
        <v>256</v>
      </c>
      <c r="B33" s="118" t="s">
        <v>4017</v>
      </c>
      <c r="D33" s="118" t="s">
        <v>4018</v>
      </c>
      <c r="E33" s="118" t="s">
        <v>4019</v>
      </c>
      <c r="F33" s="119" t="s">
        <v>3974</v>
      </c>
      <c r="G33" s="119" t="s">
        <v>3978</v>
      </c>
    </row>
    <row r="34" spans="1:7" ht="12" hidden="1" customHeight="1">
      <c r="A34" s="112">
        <v>257</v>
      </c>
      <c r="D34" s="117" t="s">
        <v>4020</v>
      </c>
      <c r="E34" s="117" t="e">
        <f>"10.11."&amp;#REF!&amp;".254"</f>
        <v>#REF!</v>
      </c>
      <c r="F34" s="112" t="s">
        <v>3974</v>
      </c>
      <c r="G34" s="112" t="s">
        <v>3978</v>
      </c>
    </row>
    <row r="35" spans="1:7" ht="12" hidden="1" customHeight="1">
      <c r="A35" s="112">
        <v>258</v>
      </c>
      <c r="D35" s="117" t="s">
        <v>4021</v>
      </c>
      <c r="E35" s="117" t="e">
        <f>"10.11."&amp;#REF!&amp;".254"</f>
        <v>#REF!</v>
      </c>
      <c r="F35" s="112" t="s">
        <v>3974</v>
      </c>
      <c r="G35" s="112" t="s">
        <v>3978</v>
      </c>
    </row>
    <row r="36" spans="1:7" ht="12" hidden="1" customHeight="1">
      <c r="A36" s="112">
        <v>259</v>
      </c>
      <c r="D36" s="117" t="s">
        <v>4022</v>
      </c>
      <c r="E36" s="117" t="e">
        <f>"10.11."&amp;#REF!&amp;".254"</f>
        <v>#REF!</v>
      </c>
      <c r="F36" s="112" t="s">
        <v>3974</v>
      </c>
      <c r="G36" s="112" t="s">
        <v>3978</v>
      </c>
    </row>
    <row r="37" spans="1:7" ht="12" hidden="1" customHeight="1">
      <c r="A37" s="112">
        <v>260</v>
      </c>
      <c r="D37" s="117" t="s">
        <v>4023</v>
      </c>
      <c r="E37" s="117" t="e">
        <f>"10.11."&amp;#REF!&amp;".254"</f>
        <v>#REF!</v>
      </c>
      <c r="F37" s="112" t="s">
        <v>3974</v>
      </c>
      <c r="G37" s="112" t="s">
        <v>3978</v>
      </c>
    </row>
    <row r="38" spans="1:7" ht="14.15" hidden="1" customHeight="1">
      <c r="A38" s="112">
        <v>261</v>
      </c>
      <c r="D38" s="117" t="s">
        <v>4024</v>
      </c>
      <c r="E38" s="117" t="e">
        <f>"10.11."&amp;#REF!&amp;".254"</f>
        <v>#REF!</v>
      </c>
      <c r="F38" s="112" t="s">
        <v>3974</v>
      </c>
      <c r="G38" s="112" t="s">
        <v>3978</v>
      </c>
    </row>
    <row r="39" spans="1:7" ht="12.65" hidden="1" customHeight="1">
      <c r="A39" s="112">
        <v>262</v>
      </c>
      <c r="D39" s="117" t="s">
        <v>4025</v>
      </c>
      <c r="E39" s="117" t="e">
        <f>"10.11."&amp;#REF!&amp;".254"</f>
        <v>#REF!</v>
      </c>
      <c r="F39" s="112" t="s">
        <v>3974</v>
      </c>
      <c r="G39" s="112" t="s">
        <v>3978</v>
      </c>
    </row>
    <row r="40" spans="1:7" ht="14.9" hidden="1" customHeight="1">
      <c r="A40" s="112">
        <v>263</v>
      </c>
      <c r="D40" s="117" t="s">
        <v>4026</v>
      </c>
      <c r="E40" s="117" t="e">
        <f>"10.11."&amp;#REF!&amp;".254"</f>
        <v>#REF!</v>
      </c>
      <c r="F40" s="112" t="s">
        <v>3974</v>
      </c>
      <c r="G40" s="112" t="s">
        <v>3978</v>
      </c>
    </row>
    <row r="41" spans="1:7" ht="13.4" hidden="1" customHeight="1">
      <c r="A41" s="112">
        <v>264</v>
      </c>
      <c r="D41" s="117" t="s">
        <v>4027</v>
      </c>
      <c r="E41" s="117" t="e">
        <f>"10.11."&amp;#REF!&amp;".254"</f>
        <v>#REF!</v>
      </c>
      <c r="F41" s="112" t="s">
        <v>3974</v>
      </c>
      <c r="G41" s="112" t="s">
        <v>3978</v>
      </c>
    </row>
    <row r="42" spans="1:7" ht="14.9" hidden="1" customHeight="1">
      <c r="A42" s="112">
        <v>265</v>
      </c>
      <c r="D42" s="117" t="s">
        <v>4028</v>
      </c>
      <c r="E42" s="117" t="e">
        <f>"10.11."&amp;#REF!&amp;".254"</f>
        <v>#REF!</v>
      </c>
      <c r="F42" s="112" t="s">
        <v>3974</v>
      </c>
      <c r="G42" s="112" t="s">
        <v>3978</v>
      </c>
    </row>
    <row r="43" spans="1:7" ht="12.65" hidden="1" customHeight="1">
      <c r="A43" s="112">
        <v>266</v>
      </c>
      <c r="D43" s="117" t="s">
        <v>4029</v>
      </c>
      <c r="E43" s="117" t="e">
        <f>"10.11."&amp;#REF!&amp;".254"</f>
        <v>#REF!</v>
      </c>
      <c r="F43" s="112" t="s">
        <v>3974</v>
      </c>
      <c r="G43" s="112" t="s">
        <v>3978</v>
      </c>
    </row>
    <row r="44" spans="1:7" ht="12" hidden="1" customHeight="1">
      <c r="A44" s="112">
        <v>267</v>
      </c>
      <c r="D44" s="117" t="s">
        <v>4030</v>
      </c>
      <c r="E44" s="117" t="e">
        <f>"10.11."&amp;#REF!&amp;".254"</f>
        <v>#REF!</v>
      </c>
      <c r="F44" s="112" t="s">
        <v>3974</v>
      </c>
      <c r="G44" s="112" t="s">
        <v>3978</v>
      </c>
    </row>
    <row r="45" spans="1:7" ht="12" hidden="1" customHeight="1">
      <c r="A45" s="112">
        <v>268</v>
      </c>
      <c r="D45" s="117" t="s">
        <v>4031</v>
      </c>
      <c r="E45" s="117" t="e">
        <f>"10.11."&amp;#REF!&amp;".254"</f>
        <v>#REF!</v>
      </c>
      <c r="F45" s="112" t="s">
        <v>3974</v>
      </c>
      <c r="G45" s="112" t="s">
        <v>3978</v>
      </c>
    </row>
    <row r="46" spans="1:7" ht="14.9" hidden="1" customHeight="1">
      <c r="A46" s="112">
        <v>269</v>
      </c>
      <c r="D46" s="117" t="s">
        <v>4032</v>
      </c>
      <c r="E46" s="117" t="e">
        <f>"10.11."&amp;#REF!&amp;".254"</f>
        <v>#REF!</v>
      </c>
      <c r="F46" s="112" t="s">
        <v>3974</v>
      </c>
      <c r="G46" s="112" t="s">
        <v>3978</v>
      </c>
    </row>
    <row r="47" spans="1:7" ht="14.9" hidden="1" customHeight="1">
      <c r="A47" s="112">
        <v>270</v>
      </c>
      <c r="D47" s="117" t="s">
        <v>4033</v>
      </c>
      <c r="E47" s="117" t="e">
        <f>"10.11."&amp;#REF!&amp;".254"</f>
        <v>#REF!</v>
      </c>
      <c r="F47" s="112" t="s">
        <v>3974</v>
      </c>
      <c r="G47" s="112" t="s">
        <v>3978</v>
      </c>
    </row>
    <row r="48" spans="1:7" ht="14.25" hidden="1" customHeight="1">
      <c r="A48" s="112">
        <v>271</v>
      </c>
      <c r="D48" s="117" t="s">
        <v>4034</v>
      </c>
      <c r="E48" s="117" t="e">
        <f>"10.11."&amp;#REF!&amp;".254"</f>
        <v>#REF!</v>
      </c>
      <c r="F48" s="112" t="s">
        <v>3974</v>
      </c>
      <c r="G48" s="112" t="s">
        <v>3978</v>
      </c>
    </row>
    <row r="49" spans="1:7" ht="13.4" hidden="1" customHeight="1">
      <c r="A49" s="112">
        <v>272</v>
      </c>
      <c r="D49" s="117" t="s">
        <v>4035</v>
      </c>
      <c r="E49" s="117" t="e">
        <f>"10.11."&amp;#REF!&amp;".254"</f>
        <v>#REF!</v>
      </c>
      <c r="F49" s="112" t="s">
        <v>3974</v>
      </c>
      <c r="G49" s="112" t="s">
        <v>3978</v>
      </c>
    </row>
    <row r="50" spans="1:7" ht="14.9" hidden="1" customHeight="1">
      <c r="A50" s="112">
        <v>273</v>
      </c>
      <c r="D50" s="117" t="s">
        <v>4036</v>
      </c>
      <c r="E50" s="117" t="e">
        <f>"10.11."&amp;#REF!&amp;".254"</f>
        <v>#REF!</v>
      </c>
      <c r="F50" s="112" t="s">
        <v>3974</v>
      </c>
      <c r="G50" s="112" t="s">
        <v>3978</v>
      </c>
    </row>
    <row r="51" spans="1:7" ht="12.75" hidden="1" customHeight="1">
      <c r="A51" s="112">
        <v>274</v>
      </c>
      <c r="D51" s="117" t="s">
        <v>4037</v>
      </c>
      <c r="E51" s="117" t="e">
        <f>"10.11."&amp;#REF!&amp;".254"</f>
        <v>#REF!</v>
      </c>
      <c r="F51" s="112" t="s">
        <v>3974</v>
      </c>
      <c r="G51" s="112" t="s">
        <v>3978</v>
      </c>
    </row>
    <row r="52" spans="1:7" ht="13.5" hidden="1" customHeight="1">
      <c r="A52" s="112">
        <v>275</v>
      </c>
      <c r="D52" s="117" t="s">
        <v>4038</v>
      </c>
      <c r="E52" s="117" t="e">
        <f>"10.11."&amp;#REF!&amp;".254"</f>
        <v>#REF!</v>
      </c>
      <c r="F52" s="112" t="s">
        <v>3974</v>
      </c>
      <c r="G52" s="112" t="s">
        <v>3978</v>
      </c>
    </row>
    <row r="53" spans="1:7" ht="12.75" hidden="1" customHeight="1">
      <c r="A53" s="112">
        <v>276</v>
      </c>
      <c r="D53" s="117" t="s">
        <v>4039</v>
      </c>
      <c r="E53" s="117" t="e">
        <f>"10.11."&amp;#REF!&amp;".254"</f>
        <v>#REF!</v>
      </c>
      <c r="F53" s="112" t="s">
        <v>3974</v>
      </c>
      <c r="G53" s="112" t="s">
        <v>3978</v>
      </c>
    </row>
    <row r="54" spans="1:7" ht="12.75" hidden="1" customHeight="1">
      <c r="A54" s="112">
        <v>277</v>
      </c>
      <c r="D54" s="117" t="s">
        <v>4040</v>
      </c>
      <c r="E54" s="117" t="e">
        <f>"10.11."&amp;#REF!&amp;".254"</f>
        <v>#REF!</v>
      </c>
      <c r="F54" s="112" t="s">
        <v>3974</v>
      </c>
      <c r="G54" s="112" t="s">
        <v>3978</v>
      </c>
    </row>
    <row r="55" spans="1:7" ht="12.65" hidden="1" customHeight="1">
      <c r="A55" s="112">
        <v>278</v>
      </c>
      <c r="D55" s="117" t="s">
        <v>4041</v>
      </c>
      <c r="E55" s="117" t="e">
        <f>"10.11."&amp;#REF!&amp;".254"</f>
        <v>#REF!</v>
      </c>
      <c r="F55" s="112" t="s">
        <v>3974</v>
      </c>
      <c r="G55" s="112" t="s">
        <v>3978</v>
      </c>
    </row>
    <row r="56" spans="1:7" ht="11.9" hidden="1" customHeight="1">
      <c r="A56" s="112">
        <v>279</v>
      </c>
      <c r="D56" s="117" t="s">
        <v>4042</v>
      </c>
      <c r="E56" s="117" t="e">
        <f>"10.11."&amp;#REF!&amp;".254"</f>
        <v>#REF!</v>
      </c>
      <c r="F56" s="112" t="s">
        <v>3974</v>
      </c>
      <c r="G56" s="112" t="s">
        <v>3978</v>
      </c>
    </row>
    <row r="57" spans="1:7" ht="12.65" hidden="1" customHeight="1">
      <c r="A57" s="112">
        <v>280</v>
      </c>
      <c r="D57" s="117" t="s">
        <v>4043</v>
      </c>
      <c r="E57" s="117" t="e">
        <f>"10.11."&amp;#REF!&amp;".254"</f>
        <v>#REF!</v>
      </c>
      <c r="F57" s="112" t="s">
        <v>3974</v>
      </c>
      <c r="G57" s="112" t="s">
        <v>3978</v>
      </c>
    </row>
    <row r="58" spans="1:7" ht="13.4" hidden="1" customHeight="1">
      <c r="A58" s="112">
        <v>281</v>
      </c>
      <c r="D58" s="117" t="s">
        <v>4044</v>
      </c>
      <c r="E58" s="117" t="e">
        <f>"10.11."&amp;#REF!&amp;".254"</f>
        <v>#REF!</v>
      </c>
      <c r="F58" s="112" t="s">
        <v>3974</v>
      </c>
      <c r="G58" s="112" t="s">
        <v>3978</v>
      </c>
    </row>
    <row r="59" spans="1:7" ht="13.4" hidden="1" customHeight="1">
      <c r="A59" s="112">
        <v>282</v>
      </c>
      <c r="D59" s="117" t="s">
        <v>4045</v>
      </c>
      <c r="E59" s="117" t="e">
        <f>"10.11."&amp;#REF!&amp;".254"</f>
        <v>#REF!</v>
      </c>
      <c r="F59" s="112" t="s">
        <v>3974</v>
      </c>
      <c r="G59" s="112" t="s">
        <v>3978</v>
      </c>
    </row>
    <row r="60" spans="1:7" ht="12.65" hidden="1" customHeight="1">
      <c r="A60" s="112">
        <v>283</v>
      </c>
      <c r="D60" s="117" t="s">
        <v>4046</v>
      </c>
      <c r="E60" s="117" t="e">
        <f>"10.11."&amp;#REF!&amp;".254"</f>
        <v>#REF!</v>
      </c>
      <c r="F60" s="112" t="s">
        <v>3974</v>
      </c>
      <c r="G60" s="112" t="s">
        <v>3978</v>
      </c>
    </row>
    <row r="61" spans="1:7" ht="12.65" hidden="1" customHeight="1">
      <c r="A61" s="112">
        <v>284</v>
      </c>
      <c r="D61" s="117" t="s">
        <v>4047</v>
      </c>
      <c r="E61" s="117" t="e">
        <f>"10.11."&amp;#REF!&amp;".254"</f>
        <v>#REF!</v>
      </c>
      <c r="F61" s="112" t="s">
        <v>3974</v>
      </c>
      <c r="G61" s="112" t="s">
        <v>3978</v>
      </c>
    </row>
    <row r="62" spans="1:7" ht="13.4" hidden="1" customHeight="1">
      <c r="A62" s="112">
        <v>285</v>
      </c>
      <c r="D62" s="117" t="s">
        <v>4048</v>
      </c>
      <c r="E62" s="117" t="e">
        <f>"10.11."&amp;#REF!&amp;".254"</f>
        <v>#REF!</v>
      </c>
      <c r="F62" s="112" t="s">
        <v>3974</v>
      </c>
      <c r="G62" s="112" t="s">
        <v>3978</v>
      </c>
    </row>
    <row r="63" spans="1:7" ht="14.15" hidden="1" customHeight="1">
      <c r="A63" s="112">
        <v>286</v>
      </c>
      <c r="D63" s="117" t="s">
        <v>4049</v>
      </c>
      <c r="E63" s="117" t="e">
        <f>"10.11."&amp;#REF!&amp;".254"</f>
        <v>#REF!</v>
      </c>
      <c r="F63" s="112" t="s">
        <v>3974</v>
      </c>
      <c r="G63" s="112" t="s">
        <v>3978</v>
      </c>
    </row>
    <row r="64" spans="1:7" ht="12.65" hidden="1" customHeight="1">
      <c r="A64" s="112">
        <v>287</v>
      </c>
      <c r="D64" s="117" t="s">
        <v>4050</v>
      </c>
      <c r="E64" s="117" t="e">
        <f>"10.11."&amp;#REF!&amp;".254"</f>
        <v>#REF!</v>
      </c>
      <c r="F64" s="112" t="s">
        <v>3974</v>
      </c>
      <c r="G64" s="112" t="s">
        <v>3978</v>
      </c>
    </row>
    <row r="65" spans="1:13" ht="14.9" hidden="1" customHeight="1">
      <c r="A65" s="112">
        <v>288</v>
      </c>
      <c r="D65" s="117" t="s">
        <v>4051</v>
      </c>
      <c r="E65" s="117" t="e">
        <f>"10.11."&amp;#REF!&amp;".254"</f>
        <v>#REF!</v>
      </c>
      <c r="F65" s="112" t="s">
        <v>3974</v>
      </c>
      <c r="G65" s="112" t="s">
        <v>3978</v>
      </c>
    </row>
    <row r="66" spans="1:13" ht="12.65" hidden="1" customHeight="1">
      <c r="A66" s="112">
        <v>289</v>
      </c>
      <c r="D66" s="117" t="s">
        <v>4052</v>
      </c>
      <c r="E66" s="117" t="e">
        <f>"10.11."&amp;#REF!&amp;".254"</f>
        <v>#REF!</v>
      </c>
      <c r="F66" s="112" t="s">
        <v>3974</v>
      </c>
      <c r="G66" s="112" t="s">
        <v>3978</v>
      </c>
    </row>
    <row r="67" spans="1:13" ht="12.65" hidden="1" customHeight="1">
      <c r="A67" s="112">
        <v>290</v>
      </c>
      <c r="D67" s="117" t="s">
        <v>4053</v>
      </c>
      <c r="E67" s="117" t="e">
        <f>"10.11."&amp;#REF!&amp;".254"</f>
        <v>#REF!</v>
      </c>
      <c r="F67" s="112" t="s">
        <v>3974</v>
      </c>
      <c r="G67" s="112" t="s">
        <v>3978</v>
      </c>
    </row>
    <row r="68" spans="1:13" ht="12.75" hidden="1" customHeight="1">
      <c r="A68" s="112">
        <v>291</v>
      </c>
      <c r="D68" s="117" t="s">
        <v>4054</v>
      </c>
      <c r="E68" s="117" t="e">
        <f>"10.11."&amp;#REF!&amp;".254"</f>
        <v>#REF!</v>
      </c>
      <c r="F68" s="112" t="s">
        <v>3974</v>
      </c>
      <c r="G68" s="112" t="s">
        <v>3978</v>
      </c>
    </row>
    <row r="69" spans="1:13" ht="13.4" hidden="1" customHeight="1">
      <c r="A69" s="112">
        <v>292</v>
      </c>
      <c r="D69" s="117" t="s">
        <v>4055</v>
      </c>
      <c r="E69" s="117" t="e">
        <f>"10.11."&amp;#REF!&amp;".254"</f>
        <v>#REF!</v>
      </c>
      <c r="F69" s="112" t="s">
        <v>3974</v>
      </c>
      <c r="G69" s="112" t="s">
        <v>3978</v>
      </c>
    </row>
    <row r="70" spans="1:13" ht="12.75" hidden="1" customHeight="1">
      <c r="A70" s="112">
        <v>293</v>
      </c>
      <c r="D70" s="117" t="s">
        <v>4056</v>
      </c>
      <c r="E70" s="117" t="e">
        <f>"10.11."&amp;#REF!&amp;".254"</f>
        <v>#REF!</v>
      </c>
      <c r="F70" s="112" t="s">
        <v>3974</v>
      </c>
      <c r="G70" s="112" t="s">
        <v>3978</v>
      </c>
    </row>
    <row r="71" spans="1:13" ht="12" hidden="1" customHeight="1">
      <c r="A71" s="112">
        <v>294</v>
      </c>
      <c r="D71" s="117" t="s">
        <v>4057</v>
      </c>
      <c r="E71" s="117" t="e">
        <f>"10.11."&amp;#REF!&amp;".254"</f>
        <v>#REF!</v>
      </c>
      <c r="F71" s="112" t="s">
        <v>3974</v>
      </c>
      <c r="G71" s="112" t="s">
        <v>3978</v>
      </c>
    </row>
    <row r="72" spans="1:13" ht="12.75" customHeight="1">
      <c r="A72" s="112">
        <f>A71+1</f>
        <v>295</v>
      </c>
      <c r="B72" s="117" t="s">
        <v>3976</v>
      </c>
      <c r="C72" s="112" t="s">
        <v>517</v>
      </c>
      <c r="D72" s="117" t="s">
        <v>4058</v>
      </c>
      <c r="E72" s="117" t="str">
        <f>"10.10."&amp;A72&amp;".254"</f>
        <v>10.10.295.254</v>
      </c>
      <c r="F72" s="112" t="s">
        <v>3974</v>
      </c>
      <c r="G72" s="112" t="s">
        <v>3978</v>
      </c>
      <c r="H72" s="112" t="s">
        <v>517</v>
      </c>
      <c r="M72" s="117" t="str">
        <f>D72&amp;"-254"</f>
        <v>10.10.113.0-254</v>
      </c>
    </row>
    <row r="73" spans="1:13" ht="14.25" customHeight="1">
      <c r="A73" s="112">
        <f>A72+1</f>
        <v>296</v>
      </c>
      <c r="B73" s="117" t="s">
        <v>3976</v>
      </c>
      <c r="C73" s="112" t="s">
        <v>517</v>
      </c>
      <c r="D73" s="117" t="s">
        <v>4059</v>
      </c>
      <c r="E73" s="117" t="str">
        <f>"10.10."&amp;A73&amp;".254"</f>
        <v>10.10.296.254</v>
      </c>
      <c r="F73" s="112" t="s">
        <v>3974</v>
      </c>
      <c r="G73" s="112" t="s">
        <v>3978</v>
      </c>
      <c r="I73" s="112" t="s">
        <v>517</v>
      </c>
      <c r="M73" s="117" t="str">
        <f>D73&amp;"-254"</f>
        <v>10.10.114.0-254</v>
      </c>
    </row>
    <row r="74" spans="1:13" ht="12" customHeight="1">
      <c r="A74" s="112">
        <f>A73+1</f>
        <v>297</v>
      </c>
      <c r="B74" s="117" t="s">
        <v>3976</v>
      </c>
      <c r="C74" s="112" t="s">
        <v>517</v>
      </c>
      <c r="D74" s="117" t="s">
        <v>4060</v>
      </c>
      <c r="E74" s="117" t="str">
        <f>"10.10."&amp;A74&amp;".254"</f>
        <v>10.10.297.254</v>
      </c>
      <c r="F74" s="112" t="s">
        <v>3974</v>
      </c>
      <c r="G74" s="112" t="s">
        <v>3978</v>
      </c>
      <c r="J74" s="112" t="s">
        <v>517</v>
      </c>
      <c r="M74" s="117" t="str">
        <f>D74&amp;"-254"</f>
        <v>10.10.115.0-254</v>
      </c>
    </row>
    <row r="75" spans="1:13" ht="13.5" hidden="1" customHeight="1">
      <c r="A75" s="112">
        <v>296</v>
      </c>
      <c r="D75" s="117" t="s">
        <v>4061</v>
      </c>
      <c r="E75" s="117" t="e">
        <f>"10.11."&amp;#REF!&amp;".254"</f>
        <v>#REF!</v>
      </c>
      <c r="F75" s="112" t="s">
        <v>3974</v>
      </c>
      <c r="G75" s="112" t="s">
        <v>3978</v>
      </c>
    </row>
    <row r="76" spans="1:13" ht="12.65" customHeight="1">
      <c r="A76" s="112">
        <f>A75+1</f>
        <v>297</v>
      </c>
      <c r="B76" s="117" t="s">
        <v>3982</v>
      </c>
      <c r="C76" s="112" t="s">
        <v>629</v>
      </c>
      <c r="D76" s="117" t="s">
        <v>4062</v>
      </c>
      <c r="E76" s="117" t="str">
        <f>"10.10."&amp;A76&amp;".254"</f>
        <v>10.10.297.254</v>
      </c>
      <c r="F76" s="112" t="s">
        <v>3974</v>
      </c>
      <c r="G76" s="112" t="s">
        <v>3978</v>
      </c>
      <c r="J76" s="112" t="s">
        <v>629</v>
      </c>
      <c r="M76" s="117" t="str">
        <f>D76&amp;"-254"</f>
        <v>10.10.117.0-254</v>
      </c>
    </row>
    <row r="77" spans="1:13" ht="12" hidden="1" customHeight="1">
      <c r="A77" s="112">
        <v>297</v>
      </c>
      <c r="D77" s="117" t="s">
        <v>4063</v>
      </c>
      <c r="E77" s="117" t="e">
        <f>"10.11."&amp;#REF!&amp;".254"</f>
        <v>#REF!</v>
      </c>
      <c r="F77" s="112" t="s">
        <v>3974</v>
      </c>
      <c r="G77" s="112" t="s">
        <v>3978</v>
      </c>
    </row>
    <row r="78" spans="1:13" ht="12" customHeight="1">
      <c r="A78" s="112">
        <f>A77+1</f>
        <v>298</v>
      </c>
      <c r="B78" s="117" t="s">
        <v>3982</v>
      </c>
      <c r="C78" s="112" t="s">
        <v>638</v>
      </c>
      <c r="D78" s="117" t="s">
        <v>4064</v>
      </c>
      <c r="E78" s="117" t="str">
        <f>"10.10."&amp;A78&amp;".254"</f>
        <v>10.10.298.254</v>
      </c>
      <c r="F78" s="112" t="s">
        <v>3974</v>
      </c>
      <c r="G78" s="112" t="s">
        <v>3978</v>
      </c>
      <c r="H78" s="112" t="s">
        <v>638</v>
      </c>
      <c r="M78" s="117" t="str">
        <f>D78&amp;"-254"</f>
        <v>10.10.128.0-254</v>
      </c>
    </row>
    <row r="79" spans="1:13" ht="12" hidden="1" customHeight="1">
      <c r="A79" s="112">
        <v>298</v>
      </c>
      <c r="D79" s="117" t="s">
        <v>4065</v>
      </c>
      <c r="E79" s="117" t="e">
        <f>"10.11."&amp;#REF!&amp;".254"</f>
        <v>#REF!</v>
      </c>
      <c r="F79" s="112" t="s">
        <v>3974</v>
      </c>
      <c r="G79" s="112" t="s">
        <v>3978</v>
      </c>
    </row>
    <row r="80" spans="1:13" ht="12" customHeight="1">
      <c r="A80" s="112">
        <f>A79+1</f>
        <v>299</v>
      </c>
      <c r="B80" s="117" t="s">
        <v>3982</v>
      </c>
      <c r="C80" s="112" t="s">
        <v>638</v>
      </c>
      <c r="D80" s="117" t="s">
        <v>4066</v>
      </c>
      <c r="E80" s="117" t="str">
        <f>"10.10."&amp;A80&amp;".254"</f>
        <v>10.10.299.254</v>
      </c>
      <c r="F80" s="112" t="s">
        <v>3974</v>
      </c>
      <c r="G80" s="112" t="s">
        <v>3978</v>
      </c>
      <c r="I80" s="112" t="s">
        <v>638</v>
      </c>
      <c r="M80" s="117" t="str">
        <f>D80&amp;"-254"</f>
        <v>10.10.129.0-254</v>
      </c>
    </row>
    <row r="81" spans="1:13" ht="12" hidden="1" customHeight="1">
      <c r="A81" s="112">
        <v>299</v>
      </c>
      <c r="D81" s="117" t="s">
        <v>4067</v>
      </c>
      <c r="E81" s="117" t="e">
        <f>"10.11."&amp;#REF!&amp;".254"</f>
        <v>#REF!</v>
      </c>
      <c r="F81" s="112" t="s">
        <v>3974</v>
      </c>
      <c r="G81" s="112" t="s">
        <v>3978</v>
      </c>
    </row>
    <row r="82" spans="1:13" ht="12" customHeight="1">
      <c r="A82" s="112">
        <f>A81+1</f>
        <v>300</v>
      </c>
      <c r="B82" s="117" t="s">
        <v>3982</v>
      </c>
      <c r="C82" s="112" t="s">
        <v>638</v>
      </c>
      <c r="D82" s="117" t="s">
        <v>4068</v>
      </c>
      <c r="E82" s="117" t="str">
        <f>"10.10."&amp;A82&amp;".254"</f>
        <v>10.10.300.254</v>
      </c>
      <c r="F82" s="112" t="s">
        <v>3974</v>
      </c>
      <c r="G82" s="112" t="s">
        <v>3978</v>
      </c>
      <c r="J82" s="112" t="s">
        <v>638</v>
      </c>
      <c r="M82" s="117" t="str">
        <f>D82&amp;"-254"</f>
        <v>10.10.130.0-254</v>
      </c>
    </row>
    <row r="83" spans="1:13" ht="12" hidden="1" customHeight="1">
      <c r="A83" s="112">
        <v>300</v>
      </c>
      <c r="D83" s="117" t="s">
        <v>4069</v>
      </c>
      <c r="E83" s="117" t="e">
        <f>"10.11."&amp;#REF!&amp;".254"</f>
        <v>#REF!</v>
      </c>
      <c r="F83" s="112" t="s">
        <v>3974</v>
      </c>
      <c r="G83" s="112" t="s">
        <v>3978</v>
      </c>
    </row>
    <row r="84" spans="1:13" ht="12" customHeight="1">
      <c r="A84" s="112">
        <f>A83+1</f>
        <v>301</v>
      </c>
      <c r="B84" s="117" t="s">
        <v>3982</v>
      </c>
      <c r="C84" s="112" t="s">
        <v>614</v>
      </c>
      <c r="D84" s="117" t="s">
        <v>4070</v>
      </c>
      <c r="E84" s="117" t="str">
        <f>"10.10."&amp;A84&amp;".254"</f>
        <v>10.10.301.254</v>
      </c>
      <c r="F84" s="112" t="s">
        <v>3974</v>
      </c>
      <c r="G84" s="112" t="s">
        <v>3978</v>
      </c>
      <c r="H84" s="112" t="s">
        <v>614</v>
      </c>
      <c r="M84" s="117" t="str">
        <f>D84&amp;"-254"</f>
        <v>10.10.131.0-254</v>
      </c>
    </row>
    <row r="85" spans="1:13" ht="12" hidden="1" customHeight="1">
      <c r="A85" s="112">
        <v>301</v>
      </c>
      <c r="D85" s="117" t="s">
        <v>4071</v>
      </c>
      <c r="E85" s="117" t="e">
        <f>"10.11."&amp;#REF!&amp;".254"</f>
        <v>#REF!</v>
      </c>
      <c r="F85" s="112" t="s">
        <v>3974</v>
      </c>
      <c r="G85" s="112" t="s">
        <v>3978</v>
      </c>
    </row>
    <row r="86" spans="1:13" ht="12" customHeight="1">
      <c r="A86" s="112">
        <f>A85+1</f>
        <v>302</v>
      </c>
      <c r="B86" s="117" t="s">
        <v>3982</v>
      </c>
      <c r="C86" s="112" t="s">
        <v>614</v>
      </c>
      <c r="D86" s="117" t="s">
        <v>4072</v>
      </c>
      <c r="E86" s="117" t="str">
        <f>"10.10."&amp;A86&amp;".254"</f>
        <v>10.10.302.254</v>
      </c>
      <c r="F86" s="112" t="s">
        <v>3974</v>
      </c>
      <c r="G86" s="112" t="s">
        <v>3978</v>
      </c>
      <c r="I86" s="112" t="s">
        <v>614</v>
      </c>
      <c r="M86" s="117" t="str">
        <f>D86&amp;"-254"</f>
        <v>10.10.132.0-254</v>
      </c>
    </row>
    <row r="87" spans="1:13" ht="12" hidden="1" customHeight="1">
      <c r="A87" s="112">
        <v>302</v>
      </c>
      <c r="D87" s="117" t="s">
        <v>4073</v>
      </c>
      <c r="E87" s="117" t="e">
        <f>"10.11."&amp;#REF!&amp;".254"</f>
        <v>#REF!</v>
      </c>
      <c r="F87" s="112" t="s">
        <v>3974</v>
      </c>
      <c r="G87" s="112" t="s">
        <v>3978</v>
      </c>
    </row>
    <row r="88" spans="1:13" ht="12" customHeight="1">
      <c r="A88" s="112">
        <f>A87+1</f>
        <v>303</v>
      </c>
      <c r="B88" s="117" t="s">
        <v>3982</v>
      </c>
      <c r="C88" s="112" t="s">
        <v>4074</v>
      </c>
      <c r="D88" s="117" t="s">
        <v>4075</v>
      </c>
      <c r="E88" s="117" t="str">
        <f>"10.10."&amp;A88&amp;".254"</f>
        <v>10.10.303.254</v>
      </c>
      <c r="F88" s="112" t="s">
        <v>3974</v>
      </c>
      <c r="G88" s="112" t="s">
        <v>3978</v>
      </c>
      <c r="H88" s="112" t="s">
        <v>623</v>
      </c>
      <c r="J88" s="112" t="s">
        <v>614</v>
      </c>
      <c r="M88" s="117" t="str">
        <f>D88&amp;"-254"</f>
        <v>10.10.133.0-254</v>
      </c>
    </row>
    <row r="89" spans="1:13" ht="12" hidden="1" customHeight="1">
      <c r="A89" s="112">
        <v>303</v>
      </c>
      <c r="D89" s="117" t="s">
        <v>4076</v>
      </c>
      <c r="E89" s="117" t="e">
        <f>"10.11."&amp;#REF!&amp;".254"</f>
        <v>#REF!</v>
      </c>
      <c r="F89" s="112" t="s">
        <v>3974</v>
      </c>
      <c r="G89" s="112" t="s">
        <v>3978</v>
      </c>
    </row>
    <row r="90" spans="1:13">
      <c r="A90" s="112">
        <f>A89+1</f>
        <v>304</v>
      </c>
      <c r="B90" s="117" t="s">
        <v>3982</v>
      </c>
      <c r="C90" s="112" t="s">
        <v>623</v>
      </c>
      <c r="D90" s="117" t="s">
        <v>4077</v>
      </c>
      <c r="E90" s="117" t="str">
        <f>"10.10."&amp;A90&amp;".254"</f>
        <v>10.10.304.254</v>
      </c>
      <c r="F90" s="112" t="s">
        <v>3974</v>
      </c>
      <c r="G90" s="112" t="s">
        <v>3978</v>
      </c>
      <c r="I90" s="112" t="s">
        <v>623</v>
      </c>
      <c r="M90" s="117" t="str">
        <f>D90&amp;"-254"</f>
        <v>10.10.134.0-254</v>
      </c>
    </row>
    <row r="91" spans="1:13" ht="12" hidden="1" customHeight="1">
      <c r="A91" s="112">
        <v>304</v>
      </c>
      <c r="D91" s="117" t="s">
        <v>4078</v>
      </c>
      <c r="E91" s="117" t="e">
        <f>"10.11."&amp;#REF!&amp;".254"</f>
        <v>#REF!</v>
      </c>
      <c r="F91" s="112" t="s">
        <v>3974</v>
      </c>
      <c r="G91" s="112" t="s">
        <v>3978</v>
      </c>
    </row>
    <row r="92" spans="1:13" ht="12" customHeight="1">
      <c r="A92" s="112">
        <f>A91+1</f>
        <v>305</v>
      </c>
      <c r="B92" s="117" t="s">
        <v>3982</v>
      </c>
      <c r="C92" s="112" t="s">
        <v>623</v>
      </c>
      <c r="D92" s="117" t="s">
        <v>4079</v>
      </c>
      <c r="E92" s="117" t="str">
        <f>"10.10."&amp;A92&amp;".254"</f>
        <v>10.10.305.254</v>
      </c>
      <c r="F92" s="112" t="s">
        <v>3974</v>
      </c>
      <c r="G92" s="112" t="s">
        <v>3978</v>
      </c>
      <c r="J92" s="112" t="s">
        <v>623</v>
      </c>
      <c r="M92" s="117" t="str">
        <f>D92&amp;"-254"</f>
        <v>10.10.135.0-254</v>
      </c>
    </row>
    <row r="93" spans="1:13" ht="12" hidden="1" customHeight="1">
      <c r="A93" s="112">
        <v>305</v>
      </c>
      <c r="D93" s="117" t="s">
        <v>4080</v>
      </c>
      <c r="E93" s="117" t="e">
        <f>"10.11."&amp;#REF!&amp;".254"</f>
        <v>#REF!</v>
      </c>
      <c r="F93" s="112" t="s">
        <v>3974</v>
      </c>
      <c r="G93" s="112" t="s">
        <v>3978</v>
      </c>
    </row>
    <row r="94" spans="1:13" ht="14.9" customHeight="1">
      <c r="A94" s="112">
        <f>A93+1</f>
        <v>306</v>
      </c>
      <c r="B94" s="117" t="s">
        <v>3982</v>
      </c>
      <c r="C94" s="112" t="s">
        <v>641</v>
      </c>
      <c r="D94" s="117" t="s">
        <v>4081</v>
      </c>
      <c r="E94" s="117" t="str">
        <f>"10.10."&amp;A94&amp;".254"</f>
        <v>10.10.306.254</v>
      </c>
      <c r="F94" s="112" t="s">
        <v>3974</v>
      </c>
      <c r="G94" s="112" t="s">
        <v>3978</v>
      </c>
      <c r="H94" s="112" t="s">
        <v>641</v>
      </c>
      <c r="M94" s="117" t="str">
        <f>D94&amp;"-254"</f>
        <v>10.10.136.0-254</v>
      </c>
    </row>
    <row r="95" spans="1:13" ht="11.9" hidden="1" customHeight="1">
      <c r="A95" s="112">
        <v>306</v>
      </c>
      <c r="D95" s="117" t="s">
        <v>4082</v>
      </c>
      <c r="E95" s="117" t="e">
        <f>"10.11."&amp;#REF!&amp;".254"</f>
        <v>#REF!</v>
      </c>
      <c r="F95" s="112" t="s">
        <v>3974</v>
      </c>
      <c r="G95" s="112" t="s">
        <v>3978</v>
      </c>
    </row>
    <row r="96" spans="1:13" ht="13.4" customHeight="1">
      <c r="A96" s="112">
        <f>A95+1</f>
        <v>307</v>
      </c>
      <c r="B96" s="117" t="s">
        <v>3982</v>
      </c>
      <c r="C96" s="112" t="s">
        <v>641</v>
      </c>
      <c r="D96" s="117" t="s">
        <v>4083</v>
      </c>
      <c r="E96" s="117" t="str">
        <f>"10.10."&amp;A96&amp;".254"</f>
        <v>10.10.307.254</v>
      </c>
      <c r="F96" s="112" t="s">
        <v>3974</v>
      </c>
      <c r="G96" s="112" t="s">
        <v>3978</v>
      </c>
      <c r="I96" s="112" t="s">
        <v>641</v>
      </c>
      <c r="M96" s="117" t="str">
        <f>D96&amp;"-254"</f>
        <v>10.10.137.0-254</v>
      </c>
    </row>
    <row r="97" spans="1:13" ht="13.4" hidden="1" customHeight="1">
      <c r="A97" s="112">
        <v>307</v>
      </c>
      <c r="D97" s="117" t="s">
        <v>4084</v>
      </c>
      <c r="E97" s="117" t="e">
        <f>"10.11."&amp;#REF!&amp;".254"</f>
        <v>#REF!</v>
      </c>
      <c r="F97" s="112" t="s">
        <v>3974</v>
      </c>
      <c r="G97" s="112" t="s">
        <v>3978</v>
      </c>
    </row>
    <row r="98" spans="1:13" ht="12.65" customHeight="1">
      <c r="A98" s="112">
        <f>A97+1</f>
        <v>308</v>
      </c>
      <c r="B98" s="117" t="s">
        <v>3982</v>
      </c>
      <c r="C98" s="112" t="s">
        <v>641</v>
      </c>
      <c r="D98" s="117" t="s">
        <v>4085</v>
      </c>
      <c r="E98" s="117" t="str">
        <f>"10.10."&amp;A98&amp;".254"</f>
        <v>10.10.308.254</v>
      </c>
      <c r="F98" s="112" t="s">
        <v>3974</v>
      </c>
      <c r="G98" s="112" t="s">
        <v>3978</v>
      </c>
      <c r="J98" s="112" t="s">
        <v>641</v>
      </c>
      <c r="M98" s="117" t="str">
        <f>D98&amp;"-254"</f>
        <v>10.10.138.0-254</v>
      </c>
    </row>
    <row r="99" spans="1:13" ht="13.4" hidden="1" customHeight="1">
      <c r="A99" s="112">
        <v>308</v>
      </c>
      <c r="D99" s="117" t="s">
        <v>4086</v>
      </c>
      <c r="E99" s="117" t="e">
        <f>"10.11."&amp;#REF!&amp;".254"</f>
        <v>#REF!</v>
      </c>
      <c r="F99" s="112" t="s">
        <v>3974</v>
      </c>
      <c r="G99" s="112" t="s">
        <v>3978</v>
      </c>
    </row>
    <row r="100" spans="1:13" ht="13.5" customHeight="1">
      <c r="A100" s="112">
        <f>A99+1</f>
        <v>309</v>
      </c>
      <c r="B100" s="117" t="s">
        <v>3982</v>
      </c>
      <c r="C100" s="112" t="s">
        <v>596</v>
      </c>
      <c r="D100" s="117" t="s">
        <v>4087</v>
      </c>
      <c r="E100" s="117" t="str">
        <f>"10.10."&amp;A100&amp;".254"</f>
        <v>10.10.309.254</v>
      </c>
      <c r="F100" s="112" t="s">
        <v>3974</v>
      </c>
      <c r="G100" s="112" t="s">
        <v>3978</v>
      </c>
      <c r="H100" s="112" t="s">
        <v>596</v>
      </c>
      <c r="M100" s="117" t="str">
        <f>D100&amp;"-254"</f>
        <v>10.10.139.0-254</v>
      </c>
    </row>
    <row r="101" spans="1:13" ht="12" hidden="1" customHeight="1">
      <c r="A101" s="112">
        <v>309</v>
      </c>
      <c r="D101" s="117" t="s">
        <v>4088</v>
      </c>
      <c r="E101" s="117" t="e">
        <f>"10.11."&amp;#REF!&amp;".254"</f>
        <v>#REF!</v>
      </c>
      <c r="F101" s="112" t="s">
        <v>3974</v>
      </c>
      <c r="G101" s="112" t="s">
        <v>3978</v>
      </c>
    </row>
    <row r="102" spans="1:13" ht="12.65" customHeight="1">
      <c r="A102" s="112">
        <f>A101+1</f>
        <v>310</v>
      </c>
      <c r="B102" s="117" t="s">
        <v>3982</v>
      </c>
      <c r="C102" s="112" t="s">
        <v>596</v>
      </c>
      <c r="D102" s="117" t="s">
        <v>4089</v>
      </c>
      <c r="E102" s="117" t="str">
        <f>"10.10."&amp;A102&amp;".254"</f>
        <v>10.10.310.254</v>
      </c>
      <c r="F102" s="112" t="s">
        <v>3974</v>
      </c>
      <c r="G102" s="112" t="s">
        <v>3978</v>
      </c>
      <c r="I102" s="112" t="s">
        <v>596</v>
      </c>
      <c r="M102" s="117" t="str">
        <f>D102&amp;"-254"</f>
        <v>10.10.140.0-254</v>
      </c>
    </row>
    <row r="103" spans="1:13" ht="13.5" hidden="1" customHeight="1">
      <c r="A103" s="112">
        <v>310</v>
      </c>
      <c r="D103" s="117" t="s">
        <v>4090</v>
      </c>
      <c r="E103" s="117" t="e">
        <f>"10.11."&amp;#REF!&amp;".254"</f>
        <v>#REF!</v>
      </c>
      <c r="F103" s="112" t="s">
        <v>3974</v>
      </c>
      <c r="G103" s="112" t="s">
        <v>3978</v>
      </c>
    </row>
    <row r="104" spans="1:13" ht="12.75" customHeight="1">
      <c r="A104" s="112">
        <f>A103+1</f>
        <v>311</v>
      </c>
      <c r="B104" s="117" t="s">
        <v>3976</v>
      </c>
      <c r="C104" s="112" t="s">
        <v>559</v>
      </c>
      <c r="D104" s="117" t="s">
        <v>4091</v>
      </c>
      <c r="E104" s="117" t="str">
        <f>"10.10."&amp;A104&amp;".254"</f>
        <v>10.10.311.254</v>
      </c>
      <c r="F104" s="112" t="s">
        <v>3974</v>
      </c>
      <c r="G104" s="112" t="s">
        <v>3978</v>
      </c>
      <c r="H104" s="112" t="s">
        <v>559</v>
      </c>
      <c r="M104" s="117" t="str">
        <f>D104&amp;"-254"</f>
        <v>10.10.141.0-254</v>
      </c>
    </row>
    <row r="105" spans="1:13" ht="13.5" hidden="1" customHeight="1">
      <c r="A105" s="112">
        <v>311</v>
      </c>
      <c r="D105" s="117" t="s">
        <v>4092</v>
      </c>
      <c r="E105" s="117" t="e">
        <f>"10.11."&amp;#REF!&amp;".254"</f>
        <v>#REF!</v>
      </c>
      <c r="F105" s="112" t="s">
        <v>3974</v>
      </c>
      <c r="G105" s="112" t="s">
        <v>3978</v>
      </c>
    </row>
    <row r="106" spans="1:13" ht="13.5" customHeight="1">
      <c r="A106" s="112">
        <f>A105+1</f>
        <v>312</v>
      </c>
      <c r="B106" s="117" t="s">
        <v>3976</v>
      </c>
      <c r="C106" s="112" t="s">
        <v>559</v>
      </c>
      <c r="D106" s="117" t="s">
        <v>4093</v>
      </c>
      <c r="E106" s="117" t="str">
        <f>"10.10."&amp;A106&amp;".254"</f>
        <v>10.10.312.254</v>
      </c>
      <c r="F106" s="112" t="s">
        <v>3974</v>
      </c>
      <c r="G106" s="112" t="s">
        <v>3978</v>
      </c>
      <c r="I106" s="112" t="s">
        <v>559</v>
      </c>
      <c r="M106" s="117" t="str">
        <f>D106&amp;"-254"</f>
        <v>10.10.142.0-254</v>
      </c>
    </row>
    <row r="107" spans="1:13" ht="12.75" hidden="1" customHeight="1">
      <c r="A107" s="112">
        <v>312</v>
      </c>
      <c r="D107" s="117" t="s">
        <v>4094</v>
      </c>
      <c r="E107" s="117" t="e">
        <f>"10.11."&amp;#REF!&amp;".254"</f>
        <v>#REF!</v>
      </c>
      <c r="F107" s="112" t="s">
        <v>3974</v>
      </c>
      <c r="G107" s="112" t="s">
        <v>3978</v>
      </c>
    </row>
    <row r="108" spans="1:13" ht="12.75" customHeight="1">
      <c r="A108" s="112">
        <f>A107+1</f>
        <v>313</v>
      </c>
      <c r="B108" s="117" t="s">
        <v>3982</v>
      </c>
      <c r="C108" s="112" t="s">
        <v>4095</v>
      </c>
      <c r="D108" s="117" t="s">
        <v>4096</v>
      </c>
      <c r="E108" s="117" t="str">
        <f>"10.10."&amp;A108&amp;".254"</f>
        <v>10.10.313.254</v>
      </c>
      <c r="F108" s="112" t="s">
        <v>3974</v>
      </c>
      <c r="G108" s="112" t="s">
        <v>3978</v>
      </c>
      <c r="I108" s="112" t="s">
        <v>587</v>
      </c>
      <c r="J108" s="112" t="s">
        <v>596</v>
      </c>
      <c r="M108" s="117" t="str">
        <f>D108&amp;"-254"</f>
        <v>10.10.143.0-254</v>
      </c>
    </row>
    <row r="109" spans="1:13" ht="13.5" hidden="1" customHeight="1">
      <c r="A109" s="112">
        <v>313</v>
      </c>
      <c r="D109" s="117" t="s">
        <v>4097</v>
      </c>
      <c r="E109" s="117" t="e">
        <f>"10.11."&amp;#REF!&amp;".254"</f>
        <v>#REF!</v>
      </c>
      <c r="F109" s="112" t="s">
        <v>3974</v>
      </c>
      <c r="G109" s="112" t="s">
        <v>3978</v>
      </c>
    </row>
    <row r="110" spans="1:13" ht="12.75" customHeight="1">
      <c r="A110" s="112">
        <f>A109+1</f>
        <v>314</v>
      </c>
      <c r="B110" s="117" t="s">
        <v>3982</v>
      </c>
      <c r="C110" s="112" t="s">
        <v>513</v>
      </c>
      <c r="D110" s="117" t="s">
        <v>4098</v>
      </c>
      <c r="E110" s="117" t="str">
        <f>"10.10."&amp;A110&amp;".254"</f>
        <v>10.10.314.254</v>
      </c>
      <c r="F110" s="112" t="s">
        <v>3974</v>
      </c>
      <c r="G110" s="112" t="s">
        <v>3978</v>
      </c>
      <c r="H110" s="112" t="s">
        <v>513</v>
      </c>
      <c r="M110" s="117" t="str">
        <f>D110&amp;"-254"</f>
        <v>10.10.147.0-254</v>
      </c>
    </row>
    <row r="111" spans="1:13" ht="13.5" hidden="1" customHeight="1">
      <c r="A111" s="112">
        <v>314</v>
      </c>
      <c r="D111" s="117" t="s">
        <v>4099</v>
      </c>
      <c r="E111" s="117" t="e">
        <f>"10.11."&amp;#REF!&amp;".254"</f>
        <v>#REF!</v>
      </c>
      <c r="F111" s="112" t="s">
        <v>3974</v>
      </c>
      <c r="G111" s="112" t="s">
        <v>3978</v>
      </c>
    </row>
    <row r="112" spans="1:13" ht="13.5" customHeight="1">
      <c r="A112" s="112">
        <f>A111+1</f>
        <v>315</v>
      </c>
      <c r="B112" s="117" t="s">
        <v>3976</v>
      </c>
      <c r="C112" s="112" t="s">
        <v>550</v>
      </c>
      <c r="D112" s="117" t="s">
        <v>4100</v>
      </c>
      <c r="E112" s="117" t="str">
        <f>"10.10."&amp;A112&amp;".254"</f>
        <v>10.10.315.254</v>
      </c>
      <c r="F112" s="112" t="s">
        <v>3974</v>
      </c>
      <c r="G112" s="112" t="s">
        <v>3978</v>
      </c>
      <c r="H112" s="112" t="s">
        <v>550</v>
      </c>
      <c r="M112" s="117" t="str">
        <f>D112&amp;"-254"</f>
        <v>10.10.156.0-254</v>
      </c>
    </row>
    <row r="113" spans="1:13" ht="12.65" hidden="1" customHeight="1">
      <c r="A113" s="112">
        <v>315</v>
      </c>
      <c r="D113" s="117" t="s">
        <v>4101</v>
      </c>
      <c r="E113" s="117" t="e">
        <f>"10.11."&amp;#REF!&amp;".254"</f>
        <v>#REF!</v>
      </c>
      <c r="F113" s="112" t="s">
        <v>3974</v>
      </c>
      <c r="G113" s="112" t="s">
        <v>3978</v>
      </c>
    </row>
    <row r="114" spans="1:13" ht="11.9" customHeight="1">
      <c r="A114" s="112">
        <f>A113+1</f>
        <v>316</v>
      </c>
      <c r="B114" s="117" t="s">
        <v>3976</v>
      </c>
      <c r="C114" s="112" t="s">
        <v>550</v>
      </c>
      <c r="D114" s="117" t="s">
        <v>4102</v>
      </c>
      <c r="E114" s="117" t="str">
        <f>"10.10."&amp;A114&amp;".254"</f>
        <v>10.10.316.254</v>
      </c>
      <c r="F114" s="112" t="s">
        <v>3974</v>
      </c>
      <c r="G114" s="112" t="s">
        <v>3978</v>
      </c>
      <c r="I114" s="112" t="s">
        <v>550</v>
      </c>
      <c r="M114" s="117" t="str">
        <f>D114&amp;"-254"</f>
        <v>10.10.157.0-254</v>
      </c>
    </row>
    <row r="115" spans="1:13" ht="12" hidden="1" customHeight="1">
      <c r="A115" s="112">
        <v>316</v>
      </c>
      <c r="D115" s="117" t="s">
        <v>4103</v>
      </c>
      <c r="E115" s="117" t="e">
        <f>"10.11."&amp;#REF!&amp;".254"</f>
        <v>#REF!</v>
      </c>
      <c r="F115" s="112" t="s">
        <v>3974</v>
      </c>
      <c r="G115" s="112" t="s">
        <v>3978</v>
      </c>
    </row>
    <row r="116" spans="1:13" ht="14.15" customHeight="1">
      <c r="A116" s="112">
        <f>A115+1</f>
        <v>317</v>
      </c>
      <c r="B116" s="117" t="s">
        <v>3976</v>
      </c>
      <c r="C116" s="112" t="s">
        <v>4104</v>
      </c>
      <c r="D116" s="117" t="s">
        <v>4105</v>
      </c>
      <c r="E116" s="117" t="str">
        <f>"10.10."&amp;A116&amp;".254"</f>
        <v>10.10.317.254</v>
      </c>
      <c r="F116" s="112" t="s">
        <v>3974</v>
      </c>
      <c r="G116" s="112" t="s">
        <v>3978</v>
      </c>
      <c r="H116" s="112" t="s">
        <v>584</v>
      </c>
      <c r="J116" s="112" t="s">
        <v>550</v>
      </c>
      <c r="M116" s="117" t="str">
        <f>D116&amp;"-254"</f>
        <v>10.10.158.0-254</v>
      </c>
    </row>
    <row r="117" spans="1:13" ht="12.65" hidden="1" customHeight="1">
      <c r="A117" s="112">
        <v>317</v>
      </c>
      <c r="D117" s="117" t="s">
        <v>4106</v>
      </c>
      <c r="E117" s="117" t="e">
        <f>"10.11."&amp;#REF!&amp;".254"</f>
        <v>#REF!</v>
      </c>
      <c r="F117" s="112" t="s">
        <v>3974</v>
      </c>
      <c r="G117" s="112" t="s">
        <v>3978</v>
      </c>
    </row>
    <row r="118" spans="1:13" ht="13.4" customHeight="1">
      <c r="A118" s="112">
        <f>A117+1</f>
        <v>318</v>
      </c>
      <c r="B118" s="117" t="s">
        <v>3976</v>
      </c>
      <c r="C118" s="112" t="s">
        <v>584</v>
      </c>
      <c r="D118" s="117" t="s">
        <v>4107</v>
      </c>
      <c r="E118" s="117" t="str">
        <f>"10.10."&amp;A118&amp;".254"</f>
        <v>10.10.318.254</v>
      </c>
      <c r="F118" s="112" t="s">
        <v>3974</v>
      </c>
      <c r="G118" s="112" t="s">
        <v>3978</v>
      </c>
      <c r="I118" s="112" t="s">
        <v>584</v>
      </c>
      <c r="M118" s="117" t="str">
        <f>D118&amp;"-254"</f>
        <v>10.10.159.0-254</v>
      </c>
    </row>
    <row r="119" spans="1:13" ht="12.65" hidden="1" customHeight="1">
      <c r="A119" s="112">
        <v>318</v>
      </c>
      <c r="D119" s="117" t="s">
        <v>4108</v>
      </c>
      <c r="E119" s="117" t="e">
        <f>"10.11."&amp;#REF!&amp;".254"</f>
        <v>#REF!</v>
      </c>
      <c r="F119" s="112" t="s">
        <v>3974</v>
      </c>
      <c r="G119" s="112" t="s">
        <v>3978</v>
      </c>
    </row>
    <row r="120" spans="1:13" ht="12.75" customHeight="1">
      <c r="A120" s="112">
        <f>A119+1</f>
        <v>319</v>
      </c>
      <c r="B120" s="117" t="s">
        <v>3976</v>
      </c>
      <c r="C120" s="112" t="s">
        <v>584</v>
      </c>
      <c r="D120" s="117" t="s">
        <v>4109</v>
      </c>
      <c r="E120" s="117" t="str">
        <f>"10.10."&amp;A120&amp;".254"</f>
        <v>10.10.319.254</v>
      </c>
      <c r="F120" s="112" t="s">
        <v>3974</v>
      </c>
      <c r="G120" s="112" t="s">
        <v>3978</v>
      </c>
      <c r="J120" s="112" t="s">
        <v>584</v>
      </c>
      <c r="M120" s="117" t="str">
        <f>D120&amp;"-254"</f>
        <v>10.10.160.0-254</v>
      </c>
    </row>
    <row r="121" spans="1:13" ht="12" hidden="1" customHeight="1">
      <c r="A121" s="112">
        <v>319</v>
      </c>
      <c r="D121" s="117" t="s">
        <v>4110</v>
      </c>
      <c r="E121" s="117" t="e">
        <f>"10.11."&amp;#REF!&amp;".254"</f>
        <v>#REF!</v>
      </c>
      <c r="F121" s="112" t="s">
        <v>3974</v>
      </c>
      <c r="G121" s="112" t="s">
        <v>3978</v>
      </c>
    </row>
    <row r="122" spans="1:13" ht="13.5" hidden="1" customHeight="1">
      <c r="A122" s="112">
        <v>320</v>
      </c>
      <c r="D122" s="117" t="s">
        <v>4111</v>
      </c>
      <c r="E122" s="117" t="e">
        <f>"10.11."&amp;#REF!&amp;".254"</f>
        <v>#REF!</v>
      </c>
      <c r="F122" s="112" t="s">
        <v>3974</v>
      </c>
      <c r="G122" s="112" t="s">
        <v>3978</v>
      </c>
    </row>
    <row r="123" spans="1:13" ht="12.75" hidden="1" customHeight="1">
      <c r="A123" s="112">
        <v>321</v>
      </c>
      <c r="D123" s="117" t="s">
        <v>4112</v>
      </c>
      <c r="E123" s="117" t="e">
        <f>"10.11."&amp;#REF!&amp;".254"</f>
        <v>#REF!</v>
      </c>
      <c r="F123" s="112" t="s">
        <v>3974</v>
      </c>
      <c r="G123" s="112" t="s">
        <v>3978</v>
      </c>
    </row>
    <row r="124" spans="1:13" ht="12" hidden="1" customHeight="1">
      <c r="A124" s="112">
        <v>322</v>
      </c>
      <c r="D124" s="117" t="s">
        <v>4113</v>
      </c>
      <c r="E124" s="117" t="e">
        <f>"10.11."&amp;#REF!&amp;".254"</f>
        <v>#REF!</v>
      </c>
      <c r="F124" s="112" t="s">
        <v>3974</v>
      </c>
      <c r="G124" s="112" t="s">
        <v>3978</v>
      </c>
    </row>
    <row r="125" spans="1:13" ht="12.65" hidden="1" customHeight="1">
      <c r="A125" s="112">
        <v>323</v>
      </c>
      <c r="D125" s="117" t="s">
        <v>4114</v>
      </c>
      <c r="E125" s="117" t="e">
        <f>"10.11."&amp;#REF!&amp;".254"</f>
        <v>#REF!</v>
      </c>
      <c r="F125" s="112" t="s">
        <v>3974</v>
      </c>
      <c r="G125" s="112" t="s">
        <v>3978</v>
      </c>
    </row>
    <row r="126" spans="1:13" ht="13.4" hidden="1" customHeight="1">
      <c r="A126" s="112">
        <v>324</v>
      </c>
      <c r="D126" s="117" t="s">
        <v>4115</v>
      </c>
      <c r="E126" s="117" t="e">
        <f>"10.11."&amp;#REF!&amp;".254"</f>
        <v>#REF!</v>
      </c>
      <c r="F126" s="112" t="s">
        <v>3974</v>
      </c>
      <c r="G126" s="112" t="s">
        <v>3978</v>
      </c>
    </row>
    <row r="127" spans="1:13" ht="11.9" hidden="1" customHeight="1">
      <c r="A127" s="112">
        <v>325</v>
      </c>
      <c r="D127" s="117" t="s">
        <v>4116</v>
      </c>
      <c r="E127" s="117" t="e">
        <f>"10.11."&amp;#REF!&amp;".254"</f>
        <v>#REF!</v>
      </c>
      <c r="F127" s="112" t="s">
        <v>3974</v>
      </c>
      <c r="G127" s="112" t="s">
        <v>3978</v>
      </c>
    </row>
    <row r="128" spans="1:13" ht="12" hidden="1" customHeight="1">
      <c r="A128" s="112">
        <v>326</v>
      </c>
      <c r="D128" s="117" t="s">
        <v>4117</v>
      </c>
      <c r="E128" s="117" t="e">
        <f>"10.11."&amp;#REF!&amp;".254"</f>
        <v>#REF!</v>
      </c>
      <c r="F128" s="112" t="s">
        <v>3974</v>
      </c>
      <c r="G128" s="112" t="s">
        <v>3978</v>
      </c>
    </row>
    <row r="129" spans="1:7" ht="12.65" hidden="1" customHeight="1">
      <c r="A129" s="112">
        <v>327</v>
      </c>
      <c r="D129" s="117" t="s">
        <v>4118</v>
      </c>
      <c r="E129" s="117" t="e">
        <f>"10.11."&amp;#REF!&amp;".254"</f>
        <v>#REF!</v>
      </c>
      <c r="F129" s="112" t="s">
        <v>3974</v>
      </c>
      <c r="G129" s="112" t="s">
        <v>3978</v>
      </c>
    </row>
    <row r="130" spans="1:7" ht="12" hidden="1" customHeight="1">
      <c r="A130" s="112">
        <v>328</v>
      </c>
      <c r="D130" s="117" t="s">
        <v>4119</v>
      </c>
      <c r="E130" s="117" t="e">
        <f>"10.11."&amp;#REF!&amp;".254"</f>
        <v>#REF!</v>
      </c>
      <c r="F130" s="112" t="s">
        <v>3974</v>
      </c>
      <c r="G130" s="112" t="s">
        <v>3978</v>
      </c>
    </row>
    <row r="131" spans="1:7" ht="12.75" hidden="1" customHeight="1">
      <c r="A131" s="112">
        <v>329</v>
      </c>
      <c r="D131" s="117" t="s">
        <v>4120</v>
      </c>
      <c r="E131" s="117" t="e">
        <f>"10.11."&amp;#REF!&amp;".254"</f>
        <v>#REF!</v>
      </c>
      <c r="F131" s="112" t="s">
        <v>3974</v>
      </c>
      <c r="G131" s="112" t="s">
        <v>3978</v>
      </c>
    </row>
    <row r="132" spans="1:7" ht="12.75" hidden="1" customHeight="1">
      <c r="A132" s="112">
        <v>330</v>
      </c>
      <c r="D132" s="117" t="s">
        <v>4121</v>
      </c>
      <c r="E132" s="117" t="e">
        <f>"10.11."&amp;#REF!&amp;".254"</f>
        <v>#REF!</v>
      </c>
      <c r="F132" s="112" t="s">
        <v>3974</v>
      </c>
      <c r="G132" s="112" t="s">
        <v>3978</v>
      </c>
    </row>
    <row r="133" spans="1:7" ht="13.4" hidden="1" customHeight="1">
      <c r="A133" s="112">
        <v>331</v>
      </c>
      <c r="D133" s="117" t="s">
        <v>4122</v>
      </c>
      <c r="E133" s="117" t="e">
        <f>"10.11."&amp;#REF!&amp;".254"</f>
        <v>#REF!</v>
      </c>
      <c r="F133" s="112" t="s">
        <v>3974</v>
      </c>
      <c r="G133" s="112" t="s">
        <v>3978</v>
      </c>
    </row>
    <row r="134" spans="1:7" ht="12.75" hidden="1" customHeight="1">
      <c r="A134" s="112">
        <v>332</v>
      </c>
      <c r="D134" s="117" t="s">
        <v>4123</v>
      </c>
      <c r="E134" s="117" t="e">
        <f>"10.11."&amp;#REF!&amp;".254"</f>
        <v>#REF!</v>
      </c>
      <c r="F134" s="112" t="s">
        <v>3974</v>
      </c>
      <c r="G134" s="112" t="s">
        <v>3978</v>
      </c>
    </row>
    <row r="135" spans="1:7" ht="12.75" hidden="1" customHeight="1">
      <c r="A135" s="112">
        <v>333</v>
      </c>
      <c r="D135" s="117" t="s">
        <v>4124</v>
      </c>
      <c r="E135" s="117" t="e">
        <f>"10.11."&amp;#REF!&amp;".254"</f>
        <v>#REF!</v>
      </c>
      <c r="F135" s="112" t="s">
        <v>3974</v>
      </c>
      <c r="G135" s="112" t="s">
        <v>3978</v>
      </c>
    </row>
    <row r="136" spans="1:7" ht="14.25" hidden="1" customHeight="1">
      <c r="A136" s="112">
        <v>334</v>
      </c>
      <c r="D136" s="117" t="s">
        <v>4125</v>
      </c>
      <c r="E136" s="117" t="e">
        <f>"10.11."&amp;#REF!&amp;".254"</f>
        <v>#REF!</v>
      </c>
      <c r="F136" s="112" t="s">
        <v>3974</v>
      </c>
      <c r="G136" s="112" t="s">
        <v>3978</v>
      </c>
    </row>
    <row r="137" spans="1:7" ht="12.75" hidden="1" customHeight="1">
      <c r="A137" s="112">
        <v>335</v>
      </c>
      <c r="D137" s="117" t="s">
        <v>4126</v>
      </c>
      <c r="E137" s="117" t="e">
        <f>"10.11."&amp;#REF!&amp;".254"</f>
        <v>#REF!</v>
      </c>
      <c r="F137" s="112" t="s">
        <v>3974</v>
      </c>
      <c r="G137" s="112" t="s">
        <v>3978</v>
      </c>
    </row>
    <row r="138" spans="1:7" ht="12" hidden="1" customHeight="1">
      <c r="A138" s="112">
        <v>336</v>
      </c>
      <c r="D138" s="117" t="s">
        <v>4127</v>
      </c>
      <c r="E138" s="117" t="e">
        <f>"10.11."&amp;#REF!&amp;".254"</f>
        <v>#REF!</v>
      </c>
      <c r="F138" s="112" t="s">
        <v>3974</v>
      </c>
      <c r="G138" s="112" t="s">
        <v>3978</v>
      </c>
    </row>
    <row r="139" spans="1:7" ht="12.75" hidden="1" customHeight="1">
      <c r="A139" s="112">
        <v>337</v>
      </c>
      <c r="D139" s="117" t="s">
        <v>4128</v>
      </c>
      <c r="E139" s="117" t="e">
        <f>"10.11."&amp;#REF!&amp;".254"</f>
        <v>#REF!</v>
      </c>
      <c r="F139" s="112" t="s">
        <v>3974</v>
      </c>
      <c r="G139" s="112" t="s">
        <v>3978</v>
      </c>
    </row>
    <row r="140" spans="1:7" ht="14.25" hidden="1" customHeight="1">
      <c r="A140" s="112">
        <v>338</v>
      </c>
      <c r="D140" s="117" t="s">
        <v>4129</v>
      </c>
      <c r="E140" s="117" t="e">
        <f>"10.11."&amp;#REF!&amp;".254"</f>
        <v>#REF!</v>
      </c>
      <c r="F140" s="112" t="s">
        <v>3974</v>
      </c>
      <c r="G140" s="112" t="s">
        <v>3978</v>
      </c>
    </row>
    <row r="141" spans="1:7" ht="12.75" hidden="1" customHeight="1">
      <c r="A141" s="112">
        <v>339</v>
      </c>
      <c r="D141" s="117" t="s">
        <v>4130</v>
      </c>
      <c r="E141" s="117" t="e">
        <f>"10.11."&amp;#REF!&amp;".254"</f>
        <v>#REF!</v>
      </c>
      <c r="F141" s="112" t="s">
        <v>3974</v>
      </c>
      <c r="G141" s="112" t="s">
        <v>3978</v>
      </c>
    </row>
    <row r="142" spans="1:7" ht="12.75" hidden="1" customHeight="1">
      <c r="A142" s="112">
        <v>340</v>
      </c>
      <c r="D142" s="117" t="s">
        <v>4131</v>
      </c>
      <c r="E142" s="117" t="e">
        <f>"10.11."&amp;#REF!&amp;".254"</f>
        <v>#REF!</v>
      </c>
      <c r="F142" s="112" t="s">
        <v>3974</v>
      </c>
      <c r="G142" s="112" t="s">
        <v>3978</v>
      </c>
    </row>
    <row r="143" spans="1:7" ht="12" hidden="1" customHeight="1">
      <c r="A143" s="112">
        <v>341</v>
      </c>
      <c r="D143" s="117" t="s">
        <v>4132</v>
      </c>
      <c r="E143" s="117" t="e">
        <f>"10.11."&amp;#REF!&amp;".254"</f>
        <v>#REF!</v>
      </c>
      <c r="F143" s="112" t="s">
        <v>3974</v>
      </c>
      <c r="G143" s="112" t="s">
        <v>3978</v>
      </c>
    </row>
    <row r="144" spans="1:7" ht="12.75" hidden="1" customHeight="1">
      <c r="A144" s="112">
        <v>342</v>
      </c>
      <c r="D144" s="117" t="s">
        <v>4133</v>
      </c>
      <c r="E144" s="117" t="e">
        <f>"10.11."&amp;#REF!&amp;".254"</f>
        <v>#REF!</v>
      </c>
      <c r="F144" s="112" t="s">
        <v>3974</v>
      </c>
      <c r="G144" s="112" t="s">
        <v>3978</v>
      </c>
    </row>
    <row r="145" spans="1:22" ht="12.75" hidden="1" customHeight="1">
      <c r="A145" s="112">
        <v>343</v>
      </c>
      <c r="D145" s="117" t="s">
        <v>4134</v>
      </c>
      <c r="E145" s="117" t="e">
        <f>"10.11."&amp;#REF!&amp;".254"</f>
        <v>#REF!</v>
      </c>
      <c r="F145" s="112" t="s">
        <v>3974</v>
      </c>
      <c r="G145" s="112" t="s">
        <v>3978</v>
      </c>
    </row>
    <row r="146" spans="1:22" ht="13.4" hidden="1" customHeight="1">
      <c r="A146" s="112">
        <v>344</v>
      </c>
      <c r="D146" s="117" t="s">
        <v>4135</v>
      </c>
      <c r="E146" s="117" t="e">
        <f>"10.11."&amp;#REF!&amp;".254"</f>
        <v>#REF!</v>
      </c>
      <c r="F146" s="112" t="s">
        <v>3974</v>
      </c>
      <c r="G146" s="112" t="s">
        <v>3978</v>
      </c>
    </row>
    <row r="147" spans="1:22" ht="14.15" hidden="1" customHeight="1">
      <c r="A147" s="112">
        <v>345</v>
      </c>
      <c r="D147" s="117" t="s">
        <v>4136</v>
      </c>
      <c r="E147" s="117" t="e">
        <f>"10.11."&amp;#REF!&amp;".254"</f>
        <v>#REF!</v>
      </c>
      <c r="F147" s="112" t="s">
        <v>3974</v>
      </c>
      <c r="G147" s="112" t="s">
        <v>3978</v>
      </c>
    </row>
    <row r="148" spans="1:22" ht="14.9" hidden="1" customHeight="1">
      <c r="A148" s="112">
        <v>346</v>
      </c>
      <c r="D148" s="117" t="s">
        <v>4137</v>
      </c>
      <c r="E148" s="117" t="e">
        <f>"10.11."&amp;#REF!&amp;".254"</f>
        <v>#REF!</v>
      </c>
      <c r="F148" s="112" t="s">
        <v>3974</v>
      </c>
      <c r="G148" s="112" t="s">
        <v>3978</v>
      </c>
      <c r="O148" s="112" t="s">
        <v>4138</v>
      </c>
      <c r="P148" s="112" t="s">
        <v>4139</v>
      </c>
      <c r="Q148" s="112" t="s">
        <v>4140</v>
      </c>
      <c r="R148" s="112" t="s">
        <v>4141</v>
      </c>
      <c r="S148" s="112" t="s">
        <v>4142</v>
      </c>
      <c r="T148" s="112" t="s">
        <v>4143</v>
      </c>
      <c r="U148" s="112" t="s">
        <v>4144</v>
      </c>
      <c r="V148" s="112" t="s">
        <v>4145</v>
      </c>
    </row>
    <row r="149" spans="1:22" ht="12.65" hidden="1" customHeight="1">
      <c r="A149" s="112">
        <v>347</v>
      </c>
      <c r="D149" s="117" t="s">
        <v>4146</v>
      </c>
      <c r="E149" s="117" t="e">
        <f>"10.11."&amp;#REF!&amp;".254"</f>
        <v>#REF!</v>
      </c>
      <c r="F149" s="112" t="s">
        <v>3974</v>
      </c>
      <c r="G149" s="112" t="s">
        <v>3978</v>
      </c>
    </row>
    <row r="150" spans="1:22" ht="12.65" hidden="1" customHeight="1">
      <c r="A150" s="112">
        <v>348</v>
      </c>
      <c r="D150" s="117" t="s">
        <v>4147</v>
      </c>
      <c r="E150" s="117" t="e">
        <f>"10.11."&amp;#REF!&amp;".254"</f>
        <v>#REF!</v>
      </c>
      <c r="F150" s="112" t="s">
        <v>3974</v>
      </c>
      <c r="G150" s="112" t="s">
        <v>3978</v>
      </c>
    </row>
    <row r="151" spans="1:22" ht="13.4" customHeight="1">
      <c r="A151" s="112">
        <f t="shared" ref="A151:A160" si="4">A150+1</f>
        <v>349</v>
      </c>
      <c r="B151" s="117" t="s">
        <v>4148</v>
      </c>
      <c r="C151" s="112" t="s">
        <v>576</v>
      </c>
      <c r="D151" s="117" t="s">
        <v>4149</v>
      </c>
      <c r="E151" s="117" t="str">
        <f t="shared" ref="E151:E160" si="5">"10.10."&amp;A151&amp;".254"</f>
        <v>10.10.349.254</v>
      </c>
      <c r="F151" s="112" t="s">
        <v>3974</v>
      </c>
      <c r="G151" s="112" t="s">
        <v>3978</v>
      </c>
      <c r="H151" s="112" t="s">
        <v>576</v>
      </c>
      <c r="M151" s="117" t="str">
        <f t="shared" ref="M151:M160" si="6">D151&amp;"-254"</f>
        <v>10.10.163.0-254</v>
      </c>
    </row>
    <row r="152" spans="1:22" ht="12.75" customHeight="1">
      <c r="A152" s="112">
        <f t="shared" si="4"/>
        <v>350</v>
      </c>
      <c r="B152" s="117" t="s">
        <v>4148</v>
      </c>
      <c r="C152" s="112" t="s">
        <v>576</v>
      </c>
      <c r="D152" s="117" t="s">
        <v>4150</v>
      </c>
      <c r="E152" s="117" t="str">
        <f t="shared" si="5"/>
        <v>10.10.350.254</v>
      </c>
      <c r="F152" s="112" t="s">
        <v>3974</v>
      </c>
      <c r="G152" s="112" t="s">
        <v>3978</v>
      </c>
      <c r="I152" s="112" t="s">
        <v>576</v>
      </c>
      <c r="M152" s="117" t="str">
        <f t="shared" si="6"/>
        <v>10.10.164.0-254</v>
      </c>
    </row>
    <row r="153" spans="1:22" ht="12" customHeight="1">
      <c r="A153" s="112">
        <f t="shared" si="4"/>
        <v>351</v>
      </c>
      <c r="B153" s="117" t="s">
        <v>4148</v>
      </c>
      <c r="C153" s="112" t="s">
        <v>576</v>
      </c>
      <c r="D153" s="117" t="s">
        <v>4151</v>
      </c>
      <c r="E153" s="117" t="str">
        <f t="shared" si="5"/>
        <v>10.10.351.254</v>
      </c>
      <c r="F153" s="112" t="s">
        <v>3974</v>
      </c>
      <c r="G153" s="112" t="s">
        <v>3978</v>
      </c>
      <c r="J153" s="112" t="s">
        <v>576</v>
      </c>
      <c r="M153" s="117" t="str">
        <f t="shared" si="6"/>
        <v>10.10.165.0-254</v>
      </c>
    </row>
    <row r="154" spans="1:22" ht="12" customHeight="1">
      <c r="A154" s="112">
        <f t="shared" si="4"/>
        <v>352</v>
      </c>
      <c r="B154" s="117" t="s">
        <v>4148</v>
      </c>
      <c r="C154" s="112" t="s">
        <v>580</v>
      </c>
      <c r="D154" s="117" t="s">
        <v>4152</v>
      </c>
      <c r="E154" s="117" t="str">
        <f t="shared" si="5"/>
        <v>10.10.352.254</v>
      </c>
      <c r="F154" s="112" t="s">
        <v>3974</v>
      </c>
      <c r="G154" s="112" t="s">
        <v>3978</v>
      </c>
      <c r="H154" s="112" t="s">
        <v>580</v>
      </c>
      <c r="M154" s="117" t="str">
        <f t="shared" si="6"/>
        <v>10.10.166.0-254</v>
      </c>
    </row>
    <row r="155" spans="1:22" ht="12" customHeight="1">
      <c r="A155" s="112">
        <f t="shared" si="4"/>
        <v>353</v>
      </c>
      <c r="B155" s="117" t="s">
        <v>4148</v>
      </c>
      <c r="C155" s="112" t="s">
        <v>580</v>
      </c>
      <c r="D155" s="117" t="s">
        <v>4153</v>
      </c>
      <c r="E155" s="117" t="str">
        <f t="shared" si="5"/>
        <v>10.10.353.254</v>
      </c>
      <c r="F155" s="112" t="s">
        <v>3974</v>
      </c>
      <c r="G155" s="112" t="s">
        <v>3978</v>
      </c>
      <c r="I155" s="112" t="s">
        <v>580</v>
      </c>
      <c r="M155" s="117" t="str">
        <f t="shared" si="6"/>
        <v>10.10.167.0-254</v>
      </c>
    </row>
    <row r="156" spans="1:22" ht="12.75" customHeight="1">
      <c r="A156" s="112">
        <f t="shared" si="4"/>
        <v>354</v>
      </c>
      <c r="B156" s="117" t="s">
        <v>4148</v>
      </c>
      <c r="C156" s="112" t="s">
        <v>580</v>
      </c>
      <c r="D156" s="117" t="s">
        <v>4154</v>
      </c>
      <c r="E156" s="117" t="str">
        <f t="shared" si="5"/>
        <v>10.10.354.254</v>
      </c>
      <c r="F156" s="112" t="s">
        <v>3974</v>
      </c>
      <c r="G156" s="112" t="s">
        <v>3978</v>
      </c>
      <c r="J156" s="112" t="s">
        <v>580</v>
      </c>
      <c r="M156" s="117" t="str">
        <f t="shared" si="6"/>
        <v>10.10.168.0-254</v>
      </c>
    </row>
    <row r="157" spans="1:22" ht="12" customHeight="1">
      <c r="A157" s="112">
        <f t="shared" si="4"/>
        <v>355</v>
      </c>
      <c r="B157" s="117" t="s">
        <v>3982</v>
      </c>
      <c r="C157" s="112" t="s">
        <v>620</v>
      </c>
      <c r="D157" s="117" t="s">
        <v>4155</v>
      </c>
      <c r="E157" s="117" t="str">
        <f t="shared" si="5"/>
        <v>10.10.355.254</v>
      </c>
      <c r="F157" s="112" t="s">
        <v>3974</v>
      </c>
      <c r="G157" s="112" t="s">
        <v>3978</v>
      </c>
      <c r="H157" s="112" t="s">
        <v>620</v>
      </c>
      <c r="M157" s="117" t="str">
        <f t="shared" si="6"/>
        <v>10.10.169.0-254</v>
      </c>
    </row>
    <row r="158" spans="1:22" ht="12" customHeight="1">
      <c r="A158" s="112">
        <f t="shared" si="4"/>
        <v>356</v>
      </c>
      <c r="B158" s="117" t="s">
        <v>3982</v>
      </c>
      <c r="C158" s="112" t="s">
        <v>620</v>
      </c>
      <c r="D158" s="117" t="s">
        <v>4156</v>
      </c>
      <c r="E158" s="117" t="str">
        <f t="shared" si="5"/>
        <v>10.10.356.254</v>
      </c>
      <c r="F158" s="112" t="s">
        <v>3974</v>
      </c>
      <c r="G158" s="112" t="s">
        <v>3978</v>
      </c>
      <c r="I158" s="112" t="s">
        <v>620</v>
      </c>
      <c r="M158" s="117" t="str">
        <f t="shared" si="6"/>
        <v>10.10.170.0-254</v>
      </c>
    </row>
    <row r="159" spans="1:22" ht="12.75" customHeight="1">
      <c r="A159" s="112">
        <f t="shared" si="4"/>
        <v>357</v>
      </c>
      <c r="B159" s="117" t="s">
        <v>3982</v>
      </c>
      <c r="C159" s="112" t="s">
        <v>620</v>
      </c>
      <c r="D159" s="117" t="s">
        <v>4157</v>
      </c>
      <c r="E159" s="117" t="str">
        <f t="shared" si="5"/>
        <v>10.10.357.254</v>
      </c>
      <c r="F159" s="112" t="s">
        <v>3974</v>
      </c>
      <c r="G159" s="112" t="s">
        <v>3978</v>
      </c>
      <c r="J159" s="112" t="s">
        <v>620</v>
      </c>
      <c r="M159" s="117" t="str">
        <f t="shared" si="6"/>
        <v>10.10.171.0-254</v>
      </c>
    </row>
    <row r="160" spans="1:22" ht="12" customHeight="1">
      <c r="A160" s="112">
        <f t="shared" si="4"/>
        <v>358</v>
      </c>
      <c r="B160" s="117" t="s">
        <v>3982</v>
      </c>
      <c r="C160" s="112" t="s">
        <v>513</v>
      </c>
      <c r="D160" s="117" t="s">
        <v>4158</v>
      </c>
      <c r="E160" s="117" t="str">
        <f t="shared" si="5"/>
        <v>10.10.358.254</v>
      </c>
      <c r="F160" s="112" t="s">
        <v>3974</v>
      </c>
      <c r="G160" s="112" t="s">
        <v>3978</v>
      </c>
      <c r="I160" s="112" t="s">
        <v>513</v>
      </c>
      <c r="M160" s="117" t="str">
        <f t="shared" si="6"/>
        <v>10.10.172.0-254</v>
      </c>
    </row>
    <row r="161" spans="1:13" ht="14.25" hidden="1" customHeight="1">
      <c r="A161" s="112">
        <v>352</v>
      </c>
      <c r="D161" s="117" t="s">
        <v>4159</v>
      </c>
      <c r="E161" s="117" t="e">
        <f>"10.11."&amp;#REF!&amp;".254"</f>
        <v>#REF!</v>
      </c>
      <c r="F161" s="112" t="s">
        <v>3974</v>
      </c>
      <c r="G161" s="112" t="s">
        <v>3978</v>
      </c>
    </row>
    <row r="162" spans="1:13" ht="13.4" customHeight="1">
      <c r="A162" s="112">
        <f>A161+1</f>
        <v>353</v>
      </c>
      <c r="B162" s="117" t="s">
        <v>3982</v>
      </c>
      <c r="C162" s="112" t="s">
        <v>513</v>
      </c>
      <c r="D162" s="117" t="s">
        <v>4160</v>
      </c>
      <c r="E162" s="117" t="str">
        <f>"10.10."&amp;A162&amp;".254"</f>
        <v>10.10.353.254</v>
      </c>
      <c r="F162" s="112" t="s">
        <v>3974</v>
      </c>
      <c r="G162" s="112" t="s">
        <v>3978</v>
      </c>
      <c r="J162" s="112" t="s">
        <v>513</v>
      </c>
      <c r="M162" s="117" t="str">
        <f>D162&amp;"-254"</f>
        <v>10.10.173.0-254</v>
      </c>
    </row>
    <row r="163" spans="1:13" ht="12.65" hidden="1" customHeight="1">
      <c r="A163" s="112">
        <v>353</v>
      </c>
      <c r="D163" s="117" t="s">
        <v>4161</v>
      </c>
      <c r="E163" s="117" t="e">
        <f>"10.11."&amp;#REF!&amp;".254"</f>
        <v>#REF!</v>
      </c>
      <c r="F163" s="112" t="s">
        <v>3974</v>
      </c>
      <c r="G163" s="112" t="s">
        <v>3978</v>
      </c>
    </row>
    <row r="164" spans="1:13" ht="11.9" customHeight="1">
      <c r="A164" s="112">
        <f>A163+1</f>
        <v>354</v>
      </c>
      <c r="B164" s="117" t="s">
        <v>3982</v>
      </c>
      <c r="C164" s="112" t="s">
        <v>553</v>
      </c>
      <c r="D164" s="117" t="s">
        <v>4162</v>
      </c>
      <c r="E164" s="117" t="str">
        <f>"10.10."&amp;A164&amp;".254"</f>
        <v>10.10.354.254</v>
      </c>
      <c r="F164" s="112" t="s">
        <v>3974</v>
      </c>
      <c r="G164" s="112" t="s">
        <v>3978</v>
      </c>
      <c r="H164" s="112" t="s">
        <v>553</v>
      </c>
      <c r="M164" s="117" t="str">
        <f>D164&amp;"-254"</f>
        <v>10.10.179.0-254</v>
      </c>
    </row>
    <row r="165" spans="1:13" ht="11.9" hidden="1" customHeight="1">
      <c r="A165" s="112">
        <v>354</v>
      </c>
      <c r="D165" s="117" t="s">
        <v>4163</v>
      </c>
      <c r="E165" s="117" t="e">
        <f>"10.11."&amp;#REF!&amp;".254"</f>
        <v>#REF!</v>
      </c>
      <c r="F165" s="112" t="s">
        <v>3974</v>
      </c>
      <c r="G165" s="112" t="s">
        <v>3978</v>
      </c>
    </row>
    <row r="166" spans="1:13" ht="11.9" customHeight="1">
      <c r="A166" s="112">
        <f>A165+1</f>
        <v>355</v>
      </c>
      <c r="B166" s="117" t="s">
        <v>3982</v>
      </c>
      <c r="C166" s="112" t="s">
        <v>553</v>
      </c>
      <c r="D166" s="117" t="s">
        <v>4164</v>
      </c>
      <c r="E166" s="117" t="str">
        <f>"10.10."&amp;A166&amp;".254"</f>
        <v>10.10.355.254</v>
      </c>
      <c r="F166" s="112" t="s">
        <v>3974</v>
      </c>
      <c r="G166" s="112" t="s">
        <v>3978</v>
      </c>
      <c r="I166" s="112" t="s">
        <v>553</v>
      </c>
      <c r="M166" s="117" t="str">
        <f>D166&amp;"-254"</f>
        <v>10.10.180.0-254</v>
      </c>
    </row>
    <row r="167" spans="1:13" ht="12.65" hidden="1" customHeight="1">
      <c r="A167" s="112">
        <v>355</v>
      </c>
      <c r="D167" s="117" t="s">
        <v>4165</v>
      </c>
      <c r="E167" s="117" t="e">
        <f>"10.11."&amp;#REF!&amp;".254"</f>
        <v>#REF!</v>
      </c>
      <c r="F167" s="112" t="s">
        <v>3974</v>
      </c>
      <c r="G167" s="112" t="s">
        <v>3978</v>
      </c>
    </row>
    <row r="168" spans="1:13" ht="12.75" customHeight="1">
      <c r="A168" s="112">
        <f>A167+1</f>
        <v>356</v>
      </c>
      <c r="B168" s="117" t="s">
        <v>3982</v>
      </c>
      <c r="C168" s="112" t="s">
        <v>553</v>
      </c>
      <c r="D168" s="117" t="s">
        <v>4166</v>
      </c>
      <c r="E168" s="117" t="str">
        <f>"10.10."&amp;A168&amp;".254"</f>
        <v>10.10.356.254</v>
      </c>
      <c r="F168" s="112" t="s">
        <v>3974</v>
      </c>
      <c r="G168" s="112" t="s">
        <v>3978</v>
      </c>
      <c r="J168" s="112" t="s">
        <v>553</v>
      </c>
      <c r="M168" s="117" t="str">
        <f>D168&amp;"-254"</f>
        <v>10.10.181.0-254</v>
      </c>
    </row>
    <row r="169" spans="1:13" ht="14.25" hidden="1" customHeight="1">
      <c r="A169" s="112">
        <v>356</v>
      </c>
      <c r="D169" s="117" t="s">
        <v>4167</v>
      </c>
      <c r="E169" s="117" t="e">
        <f>"10.11."&amp;#REF!&amp;".254"</f>
        <v>#REF!</v>
      </c>
      <c r="F169" s="112" t="s">
        <v>3974</v>
      </c>
      <c r="G169" s="112" t="s">
        <v>3978</v>
      </c>
    </row>
    <row r="170" spans="1:13" ht="12" customHeight="1">
      <c r="A170" s="112">
        <f>A169+1</f>
        <v>357</v>
      </c>
      <c r="B170" s="117" t="s">
        <v>3982</v>
      </c>
      <c r="C170" s="112" t="s">
        <v>590</v>
      </c>
      <c r="D170" s="117" t="s">
        <v>4168</v>
      </c>
      <c r="E170" s="117" t="str">
        <f>"10.10."&amp;A170&amp;".254"</f>
        <v>10.10.357.254</v>
      </c>
      <c r="F170" s="112" t="s">
        <v>3974</v>
      </c>
      <c r="G170" s="112" t="s">
        <v>3978</v>
      </c>
      <c r="H170" s="112" t="s">
        <v>590</v>
      </c>
      <c r="M170" s="117" t="str">
        <f>D170&amp;"-254"</f>
        <v>10.10.182.0-254</v>
      </c>
    </row>
    <row r="171" spans="1:13" ht="14.25" hidden="1" customHeight="1">
      <c r="A171" s="112">
        <v>357</v>
      </c>
      <c r="D171" s="117" t="s">
        <v>4169</v>
      </c>
      <c r="E171" s="117" t="e">
        <f>"10.11."&amp;#REF!&amp;".254"</f>
        <v>#REF!</v>
      </c>
      <c r="F171" s="112" t="s">
        <v>3974</v>
      </c>
      <c r="G171" s="112" t="s">
        <v>3978</v>
      </c>
    </row>
    <row r="172" spans="1:13" ht="15" customHeight="1">
      <c r="A172" s="112">
        <f>A171+1</f>
        <v>358</v>
      </c>
      <c r="B172" s="117" t="s">
        <v>3982</v>
      </c>
      <c r="C172" s="112" t="s">
        <v>590</v>
      </c>
      <c r="D172" s="117" t="s">
        <v>4170</v>
      </c>
      <c r="E172" s="117" t="str">
        <f>"10.10."&amp;A172&amp;".254"</f>
        <v>10.10.358.254</v>
      </c>
      <c r="F172" s="112" t="s">
        <v>3974</v>
      </c>
      <c r="G172" s="112" t="s">
        <v>3978</v>
      </c>
      <c r="I172" s="112" t="s">
        <v>590</v>
      </c>
      <c r="M172" s="117" t="str">
        <f>D172&amp;"-254"</f>
        <v>10.10.183.0-254</v>
      </c>
    </row>
    <row r="173" spans="1:13" ht="14.25" hidden="1" customHeight="1">
      <c r="A173" s="112">
        <v>358</v>
      </c>
      <c r="D173" s="117" t="s">
        <v>4171</v>
      </c>
      <c r="E173" s="117" t="e">
        <f>"10.11."&amp;#REF!&amp;".254"</f>
        <v>#REF!</v>
      </c>
      <c r="F173" s="112" t="s">
        <v>3974</v>
      </c>
      <c r="G173" s="112" t="s">
        <v>3978</v>
      </c>
    </row>
    <row r="174" spans="1:13" ht="14.25" customHeight="1">
      <c r="A174" s="112">
        <f>A173+1</f>
        <v>359</v>
      </c>
      <c r="B174" s="117" t="s">
        <v>3982</v>
      </c>
      <c r="C174" s="112" t="s">
        <v>590</v>
      </c>
      <c r="D174" s="117" t="s">
        <v>4172</v>
      </c>
      <c r="E174" s="117" t="str">
        <f>"10.10."&amp;A174&amp;".254"</f>
        <v>10.10.359.254</v>
      </c>
      <c r="F174" s="112" t="s">
        <v>3974</v>
      </c>
      <c r="G174" s="112" t="s">
        <v>3978</v>
      </c>
      <c r="J174" s="112" t="s">
        <v>590</v>
      </c>
      <c r="M174" s="117" t="str">
        <f>D174&amp;"-254"</f>
        <v>10.10.184.0-254</v>
      </c>
    </row>
    <row r="175" spans="1:13" ht="15" hidden="1" customHeight="1">
      <c r="A175" s="112">
        <v>359</v>
      </c>
      <c r="D175" s="117" t="s">
        <v>4173</v>
      </c>
      <c r="E175" s="117" t="e">
        <f>"10.11."&amp;#REF!&amp;".254"</f>
        <v>#REF!</v>
      </c>
      <c r="F175" s="112" t="s">
        <v>3974</v>
      </c>
      <c r="G175" s="112" t="s">
        <v>3978</v>
      </c>
    </row>
    <row r="176" spans="1:13" ht="14.25" customHeight="1">
      <c r="A176" s="112">
        <f>A175+1</f>
        <v>360</v>
      </c>
      <c r="B176" s="117" t="s">
        <v>3982</v>
      </c>
      <c r="C176" s="112" t="s">
        <v>546</v>
      </c>
      <c r="D176" s="117" t="s">
        <v>4174</v>
      </c>
      <c r="E176" s="117" t="str">
        <f>"10.10."&amp;A176&amp;".254"</f>
        <v>10.10.360.254</v>
      </c>
      <c r="F176" s="112" t="s">
        <v>3974</v>
      </c>
      <c r="G176" s="112" t="s">
        <v>3978</v>
      </c>
      <c r="H176" s="112" t="s">
        <v>546</v>
      </c>
      <c r="M176" s="117" t="str">
        <f>D176&amp;"-254"</f>
        <v>10.10.185.0-254</v>
      </c>
    </row>
    <row r="177" spans="1:13" ht="15" hidden="1" customHeight="1">
      <c r="A177" s="112">
        <v>360</v>
      </c>
      <c r="D177" s="117" t="s">
        <v>4175</v>
      </c>
      <c r="E177" s="117" t="e">
        <f>"10.11."&amp;#REF!&amp;".254"</f>
        <v>#REF!</v>
      </c>
      <c r="F177" s="112" t="s">
        <v>3974</v>
      </c>
      <c r="G177" s="112" t="s">
        <v>3978</v>
      </c>
    </row>
    <row r="178" spans="1:13" ht="14.25" customHeight="1">
      <c r="A178" s="112">
        <f>A177+1</f>
        <v>361</v>
      </c>
      <c r="B178" s="117" t="s">
        <v>3982</v>
      </c>
      <c r="C178" s="112" t="s">
        <v>546</v>
      </c>
      <c r="D178" s="117" t="s">
        <v>4176</v>
      </c>
      <c r="E178" s="117" t="str">
        <f>"10.10."&amp;A178&amp;".254"</f>
        <v>10.10.361.254</v>
      </c>
      <c r="F178" s="112" t="s">
        <v>3974</v>
      </c>
      <c r="G178" s="112" t="s">
        <v>3978</v>
      </c>
      <c r="I178" s="112" t="s">
        <v>546</v>
      </c>
      <c r="M178" s="117" t="str">
        <f>D178&amp;"-254"</f>
        <v>10.10.186.0-254</v>
      </c>
    </row>
    <row r="179" spans="1:13" ht="15" hidden="1" customHeight="1">
      <c r="A179" s="112">
        <v>361</v>
      </c>
      <c r="B179" s="124"/>
      <c r="D179" s="117" t="s">
        <v>4177</v>
      </c>
      <c r="E179" s="117" t="e">
        <f>"10.11."&amp;#REF!&amp;".254"</f>
        <v>#REF!</v>
      </c>
      <c r="F179" s="112" t="s">
        <v>3974</v>
      </c>
      <c r="G179" s="112" t="s">
        <v>3978</v>
      </c>
    </row>
    <row r="180" spans="1:13" ht="12.75" customHeight="1">
      <c r="A180" s="112">
        <f>A179+1</f>
        <v>362</v>
      </c>
      <c r="B180" s="117" t="s">
        <v>3982</v>
      </c>
      <c r="C180" s="112" t="s">
        <v>546</v>
      </c>
      <c r="D180" s="117" t="s">
        <v>4178</v>
      </c>
      <c r="E180" s="117" t="str">
        <f>"10.10."&amp;A180&amp;".254"</f>
        <v>10.10.362.254</v>
      </c>
      <c r="F180" s="112" t="s">
        <v>3974</v>
      </c>
      <c r="G180" s="112" t="s">
        <v>3978</v>
      </c>
      <c r="J180" s="112" t="s">
        <v>546</v>
      </c>
      <c r="M180" s="117" t="str">
        <f>D180&amp;"-254"</f>
        <v>10.10.187.0-254</v>
      </c>
    </row>
    <row r="181" spans="1:13" ht="12.75" hidden="1" customHeight="1">
      <c r="A181" s="112">
        <v>362</v>
      </c>
      <c r="B181" s="124"/>
      <c r="D181" s="117" t="s">
        <v>4179</v>
      </c>
      <c r="E181" s="117" t="e">
        <f>"10.11."&amp;#REF!&amp;".254"</f>
        <v>#REF!</v>
      </c>
      <c r="F181" s="112" t="s">
        <v>3974</v>
      </c>
      <c r="G181" s="112" t="s">
        <v>3978</v>
      </c>
    </row>
    <row r="182" spans="1:13" ht="14.25" customHeight="1">
      <c r="A182" s="112">
        <f>A181+1</f>
        <v>363</v>
      </c>
      <c r="B182" s="117" t="s">
        <v>3982</v>
      </c>
      <c r="C182" s="112" t="s">
        <v>683</v>
      </c>
      <c r="D182" s="117" t="s">
        <v>4180</v>
      </c>
      <c r="E182" s="117" t="str">
        <f>"10.10."&amp;A182&amp;".254"</f>
        <v>10.10.363.254</v>
      </c>
      <c r="F182" s="112" t="s">
        <v>3974</v>
      </c>
      <c r="G182" s="112" t="s">
        <v>3978</v>
      </c>
      <c r="H182" s="112" t="s">
        <v>683</v>
      </c>
      <c r="M182" s="117" t="str">
        <f>D182&amp;"-254"</f>
        <v>10.10.189.0-254</v>
      </c>
    </row>
    <row r="183" spans="1:13" ht="15" hidden="1" customHeight="1">
      <c r="A183" s="112">
        <v>363</v>
      </c>
      <c r="B183" s="124"/>
      <c r="D183" s="117" t="s">
        <v>4181</v>
      </c>
      <c r="E183" s="117" t="e">
        <f>"10.11."&amp;#REF!&amp;".254"</f>
        <v>#REF!</v>
      </c>
      <c r="F183" s="112" t="s">
        <v>3974</v>
      </c>
      <c r="G183" s="112" t="s">
        <v>3978</v>
      </c>
    </row>
    <row r="184" spans="1:13" ht="14.25" hidden="1" customHeight="1">
      <c r="A184" s="112">
        <v>364</v>
      </c>
      <c r="B184" s="124"/>
      <c r="D184" s="117" t="s">
        <v>4182</v>
      </c>
      <c r="E184" s="117" t="e">
        <f>"10.11."&amp;#REF!&amp;".254"</f>
        <v>#REF!</v>
      </c>
      <c r="F184" s="112" t="s">
        <v>3974</v>
      </c>
      <c r="G184" s="112" t="s">
        <v>3978</v>
      </c>
    </row>
    <row r="185" spans="1:13" ht="14.25" hidden="1" customHeight="1">
      <c r="A185" s="112">
        <v>365</v>
      </c>
      <c r="D185" s="117" t="s">
        <v>4183</v>
      </c>
      <c r="E185" s="117" t="e">
        <f>"10.11."&amp;#REF!&amp;".254"</f>
        <v>#REF!</v>
      </c>
      <c r="F185" s="112" t="s">
        <v>3974</v>
      </c>
      <c r="G185" s="112" t="s">
        <v>3978</v>
      </c>
    </row>
    <row r="186" spans="1:13" ht="15" hidden="1" customHeight="1">
      <c r="A186" s="112">
        <v>366</v>
      </c>
      <c r="D186" s="117" t="s">
        <v>4184</v>
      </c>
      <c r="E186" s="117" t="e">
        <f>"10.11."&amp;#REF!&amp;".254"</f>
        <v>#REF!</v>
      </c>
      <c r="F186" s="112" t="s">
        <v>3974</v>
      </c>
      <c r="G186" s="112" t="s">
        <v>3978</v>
      </c>
    </row>
    <row r="187" spans="1:13" ht="14.25" customHeight="1">
      <c r="A187" s="112">
        <f>A186+1</f>
        <v>367</v>
      </c>
      <c r="B187" s="117" t="s">
        <v>3982</v>
      </c>
      <c r="C187" s="112" t="s">
        <v>683</v>
      </c>
      <c r="D187" s="117" t="s">
        <v>4185</v>
      </c>
      <c r="E187" s="117" t="str">
        <f>"10.10."&amp;A187&amp;".254"</f>
        <v>10.10.367.254</v>
      </c>
      <c r="F187" s="112" t="s">
        <v>3974</v>
      </c>
      <c r="G187" s="112" t="s">
        <v>3978</v>
      </c>
      <c r="I187" s="112" t="s">
        <v>683</v>
      </c>
      <c r="M187" s="117" t="str">
        <f>D187&amp;"-254"</f>
        <v>10.10.190.0-254</v>
      </c>
    </row>
    <row r="188" spans="1:13" ht="14.25" customHeight="1">
      <c r="A188" s="112">
        <f>A187+1</f>
        <v>368</v>
      </c>
      <c r="B188" s="117" t="s">
        <v>3982</v>
      </c>
      <c r="C188" s="112" t="s">
        <v>683</v>
      </c>
      <c r="D188" s="117" t="s">
        <v>4186</v>
      </c>
      <c r="E188" s="117" t="str">
        <f>"10.10."&amp;A188&amp;".254"</f>
        <v>10.10.368.254</v>
      </c>
      <c r="F188" s="112" t="s">
        <v>3974</v>
      </c>
      <c r="G188" s="112" t="s">
        <v>3978</v>
      </c>
      <c r="J188" s="112" t="s">
        <v>683</v>
      </c>
      <c r="M188" s="117" t="str">
        <f>D188&amp;"-254"</f>
        <v>10.10.191.0-254</v>
      </c>
    </row>
    <row r="189" spans="1:13" ht="15" hidden="1" customHeight="1">
      <c r="A189" s="112">
        <f>A188+1</f>
        <v>369</v>
      </c>
      <c r="D189" s="117" t="s">
        <v>4187</v>
      </c>
      <c r="E189" s="117" t="str">
        <f>"10.10."&amp;A189&amp;".254"</f>
        <v>10.10.369.254</v>
      </c>
      <c r="F189" s="112" t="s">
        <v>3974</v>
      </c>
      <c r="G189" s="112" t="s">
        <v>3978</v>
      </c>
    </row>
    <row r="190" spans="1:13" ht="12.75" customHeight="1">
      <c r="A190" s="112">
        <f>A189+1</f>
        <v>370</v>
      </c>
      <c r="B190" s="117" t="s">
        <v>3982</v>
      </c>
      <c r="C190" s="112" t="s">
        <v>647</v>
      </c>
      <c r="D190" s="117" t="s">
        <v>4188</v>
      </c>
      <c r="E190" s="117" t="str">
        <f>"10.10."&amp;A190&amp;".254"</f>
        <v>10.10.370.254</v>
      </c>
      <c r="F190" s="112" t="s">
        <v>3974</v>
      </c>
      <c r="G190" s="112" t="s">
        <v>3978</v>
      </c>
      <c r="I190" s="112" t="s">
        <v>647</v>
      </c>
      <c r="M190" s="117" t="str">
        <f t="shared" ref="M190:M198" si="7">D190&amp;"-254"</f>
        <v>10.10.198.0-254</v>
      </c>
    </row>
    <row r="191" spans="1:13" ht="14.25" customHeight="1">
      <c r="A191" s="112">
        <f>A190+1</f>
        <v>371</v>
      </c>
      <c r="B191" s="117" t="s">
        <v>3982</v>
      </c>
      <c r="C191" s="112" t="s">
        <v>647</v>
      </c>
      <c r="D191" s="117" t="s">
        <v>4189</v>
      </c>
      <c r="E191" s="117" t="str">
        <f>"10.10."&amp;A191&amp;".254"</f>
        <v>10.10.371.254</v>
      </c>
      <c r="F191" s="112" t="s">
        <v>3974</v>
      </c>
      <c r="G191" s="112" t="s">
        <v>3978</v>
      </c>
      <c r="J191" s="112" t="s">
        <v>647</v>
      </c>
      <c r="M191" s="117" t="str">
        <f t="shared" si="7"/>
        <v>10.10.199.0-254</v>
      </c>
    </row>
    <row r="192" spans="1:13" ht="12.75" customHeight="1">
      <c r="A192" s="120">
        <v>2</v>
      </c>
      <c r="B192" s="121" t="s">
        <v>4190</v>
      </c>
      <c r="C192" s="120" t="s">
        <v>3971</v>
      </c>
      <c r="D192" s="121" t="s">
        <v>4191</v>
      </c>
      <c r="E192" s="117" t="s">
        <v>4192</v>
      </c>
      <c r="F192" s="112" t="s">
        <v>3974</v>
      </c>
      <c r="G192" s="122" t="s">
        <v>4193</v>
      </c>
      <c r="M192" s="117" t="str">
        <f t="shared" si="7"/>
        <v>10.10.2.0-254</v>
      </c>
    </row>
    <row r="193" spans="1:13" ht="12.75" customHeight="1">
      <c r="A193" s="112">
        <f>A192+1</f>
        <v>3</v>
      </c>
      <c r="B193" s="117" t="s">
        <v>3976</v>
      </c>
      <c r="C193" s="112" t="s">
        <v>480</v>
      </c>
      <c r="D193" s="117" t="s">
        <v>4194</v>
      </c>
      <c r="E193" s="117" t="str">
        <f>"10.10."&amp;A193&amp;".254"</f>
        <v>10.10.3.254</v>
      </c>
      <c r="F193" s="112" t="s">
        <v>3974</v>
      </c>
      <c r="G193" s="112" t="s">
        <v>3978</v>
      </c>
      <c r="H193" s="112" t="s">
        <v>480</v>
      </c>
      <c r="M193" s="117" t="str">
        <f t="shared" si="7"/>
        <v>10.10.207.0-254</v>
      </c>
    </row>
    <row r="194" spans="1:13" ht="14.25" customHeight="1">
      <c r="A194" s="112">
        <f>A193+1</f>
        <v>4</v>
      </c>
      <c r="B194" s="117" t="s">
        <v>3976</v>
      </c>
      <c r="C194" s="112" t="s">
        <v>480</v>
      </c>
      <c r="D194" s="117" t="s">
        <v>4195</v>
      </c>
      <c r="E194" s="117" t="str">
        <f>"10.10."&amp;A194&amp;".254"</f>
        <v>10.10.4.254</v>
      </c>
      <c r="F194" s="112" t="s">
        <v>3974</v>
      </c>
      <c r="G194" s="112" t="s">
        <v>3978</v>
      </c>
      <c r="I194" s="112" t="s">
        <v>480</v>
      </c>
      <c r="M194" s="117" t="str">
        <f t="shared" si="7"/>
        <v>10.10.208.0-254</v>
      </c>
    </row>
    <row r="195" spans="1:13" ht="12.75" customHeight="1">
      <c r="A195" s="112">
        <f>A194+1</f>
        <v>5</v>
      </c>
      <c r="B195" s="117" t="s">
        <v>3976</v>
      </c>
      <c r="C195" s="112" t="s">
        <v>480</v>
      </c>
      <c r="D195" s="117" t="s">
        <v>4196</v>
      </c>
      <c r="E195" s="117" t="str">
        <f>"10.10."&amp;A195&amp;".254"</f>
        <v>10.10.5.254</v>
      </c>
      <c r="F195" s="112" t="s">
        <v>3974</v>
      </c>
      <c r="G195" s="112" t="s">
        <v>3978</v>
      </c>
      <c r="J195" s="112" t="s">
        <v>480</v>
      </c>
      <c r="M195" s="117" t="str">
        <f t="shared" si="7"/>
        <v>10.10.209.0-254</v>
      </c>
    </row>
    <row r="196" spans="1:13" ht="12.75" customHeight="1">
      <c r="A196" s="120">
        <v>3</v>
      </c>
      <c r="B196" s="121" t="s">
        <v>4197</v>
      </c>
      <c r="C196" s="120" t="s">
        <v>3971</v>
      </c>
      <c r="D196" s="121" t="s">
        <v>4198</v>
      </c>
      <c r="E196" s="117" t="s">
        <v>4199</v>
      </c>
      <c r="F196" s="112" t="s">
        <v>3974</v>
      </c>
      <c r="G196" s="120" t="s">
        <v>3978</v>
      </c>
      <c r="M196" s="117" t="str">
        <f t="shared" si="7"/>
        <v>10.10.3.0-254</v>
      </c>
    </row>
    <row r="197" spans="1:13" ht="12.75" customHeight="1">
      <c r="A197" s="112">
        <f>A196+1</f>
        <v>4</v>
      </c>
      <c r="B197" s="117" t="s">
        <v>3982</v>
      </c>
      <c r="C197" s="112" t="s">
        <v>674</v>
      </c>
      <c r="D197" s="117" t="s">
        <v>4200</v>
      </c>
      <c r="E197" s="117" t="str">
        <f>"10.10."&amp;A197&amp;".254"</f>
        <v>10.10.4.254</v>
      </c>
      <c r="F197" s="112" t="s">
        <v>3974</v>
      </c>
      <c r="G197" s="112" t="s">
        <v>3978</v>
      </c>
      <c r="H197" s="112" t="s">
        <v>674</v>
      </c>
      <c r="M197" s="117" t="str">
        <f t="shared" si="7"/>
        <v>10.10.31.0-254</v>
      </c>
    </row>
    <row r="198" spans="1:13" ht="12.75" customHeight="1">
      <c r="A198" s="112">
        <f>A197+1</f>
        <v>5</v>
      </c>
      <c r="B198" s="117" t="s">
        <v>3982</v>
      </c>
      <c r="C198" s="112" t="s">
        <v>674</v>
      </c>
      <c r="D198" s="117" t="s">
        <v>4201</v>
      </c>
      <c r="E198" s="117" t="str">
        <f>"10.10."&amp;A198&amp;".254"</f>
        <v>10.10.5.254</v>
      </c>
      <c r="F198" s="112" t="s">
        <v>3974</v>
      </c>
      <c r="G198" s="112" t="s">
        <v>3978</v>
      </c>
      <c r="I198" s="112" t="s">
        <v>674</v>
      </c>
      <c r="M198" s="117" t="str">
        <f t="shared" si="7"/>
        <v>10.10.32.0-254</v>
      </c>
    </row>
    <row r="199" spans="1:13" ht="12.75" hidden="1" customHeight="1">
      <c r="A199" s="112">
        <v>371</v>
      </c>
      <c r="D199" s="117" t="s">
        <v>4202</v>
      </c>
      <c r="E199" s="117" t="e">
        <f>"10.11."&amp;#REF!&amp;".254"</f>
        <v>#REF!</v>
      </c>
      <c r="F199" s="112" t="s">
        <v>3974</v>
      </c>
      <c r="G199" s="112" t="s">
        <v>3978</v>
      </c>
    </row>
    <row r="200" spans="1:13" ht="11.25" customHeight="1">
      <c r="A200" s="112">
        <f t="shared" ref="A200:A206" si="8">A199+1</f>
        <v>372</v>
      </c>
      <c r="B200" s="117" t="s">
        <v>3982</v>
      </c>
      <c r="C200" s="112" t="s">
        <v>4203</v>
      </c>
      <c r="D200" s="117" t="s">
        <v>4204</v>
      </c>
      <c r="E200" s="117" t="str">
        <f t="shared" ref="E200:E206" si="9">"10.10."&amp;A200&amp;".254"</f>
        <v>10.10.372.254</v>
      </c>
      <c r="F200" s="112" t="s">
        <v>3974</v>
      </c>
      <c r="G200" s="112" t="s">
        <v>3978</v>
      </c>
      <c r="H200" s="112" t="s">
        <v>677</v>
      </c>
      <c r="J200" s="112" t="s">
        <v>674</v>
      </c>
      <c r="M200" s="117" t="str">
        <f t="shared" ref="M200:M207" si="10">D200&amp;"-254"</f>
        <v>10.10.33.0-254</v>
      </c>
    </row>
    <row r="201" spans="1:13" ht="12.75" customHeight="1">
      <c r="A201" s="112">
        <f t="shared" si="8"/>
        <v>373</v>
      </c>
      <c r="B201" s="117" t="s">
        <v>3982</v>
      </c>
      <c r="C201" s="112" t="s">
        <v>677</v>
      </c>
      <c r="D201" s="117" t="s">
        <v>4205</v>
      </c>
      <c r="E201" s="117" t="str">
        <f t="shared" si="9"/>
        <v>10.10.373.254</v>
      </c>
      <c r="F201" s="112" t="s">
        <v>3974</v>
      </c>
      <c r="G201" s="112" t="s">
        <v>3978</v>
      </c>
      <c r="I201" s="112" t="s">
        <v>677</v>
      </c>
      <c r="M201" s="117" t="str">
        <f t="shared" si="10"/>
        <v>10.10.34.0-254</v>
      </c>
    </row>
    <row r="202" spans="1:13" ht="12" customHeight="1">
      <c r="A202" s="112">
        <f t="shared" si="8"/>
        <v>374</v>
      </c>
      <c r="B202" s="117" t="s">
        <v>3982</v>
      </c>
      <c r="C202" s="112" t="s">
        <v>4206</v>
      </c>
      <c r="D202" s="117" t="s">
        <v>4207</v>
      </c>
      <c r="E202" s="117" t="str">
        <f t="shared" si="9"/>
        <v>10.10.374.254</v>
      </c>
      <c r="F202" s="112" t="s">
        <v>3974</v>
      </c>
      <c r="G202" s="112" t="s">
        <v>3978</v>
      </c>
      <c r="H202" s="112" t="s">
        <v>680</v>
      </c>
      <c r="J202" s="112" t="s">
        <v>677</v>
      </c>
      <c r="M202" s="117" t="str">
        <f t="shared" si="10"/>
        <v>10.10.35.0-254</v>
      </c>
    </row>
    <row r="203" spans="1:13" ht="12.75" customHeight="1">
      <c r="A203" s="112">
        <f t="shared" si="8"/>
        <v>375</v>
      </c>
      <c r="B203" s="117" t="s">
        <v>3982</v>
      </c>
      <c r="C203" s="112" t="s">
        <v>680</v>
      </c>
      <c r="D203" s="117" t="s">
        <v>4208</v>
      </c>
      <c r="E203" s="117" t="str">
        <f t="shared" si="9"/>
        <v>10.10.375.254</v>
      </c>
      <c r="F203" s="112" t="s">
        <v>3974</v>
      </c>
      <c r="G203" s="112" t="s">
        <v>3978</v>
      </c>
      <c r="I203" s="112" t="s">
        <v>680</v>
      </c>
      <c r="M203" s="117" t="str">
        <f t="shared" si="10"/>
        <v>10.10.36.0-254</v>
      </c>
    </row>
    <row r="204" spans="1:13" ht="12.75" customHeight="1">
      <c r="A204" s="112">
        <f t="shared" si="8"/>
        <v>376</v>
      </c>
      <c r="B204" s="117" t="s">
        <v>3982</v>
      </c>
      <c r="C204" s="112" t="s">
        <v>680</v>
      </c>
      <c r="D204" s="117" t="s">
        <v>4209</v>
      </c>
      <c r="E204" s="117" t="str">
        <f t="shared" si="9"/>
        <v>10.10.376.254</v>
      </c>
      <c r="F204" s="112" t="s">
        <v>3974</v>
      </c>
      <c r="G204" s="112" t="s">
        <v>3978</v>
      </c>
      <c r="J204" s="112" t="s">
        <v>680</v>
      </c>
      <c r="M204" s="117" t="str">
        <f t="shared" si="10"/>
        <v>10.10.37.0-254</v>
      </c>
    </row>
    <row r="205" spans="1:13" ht="12.75" customHeight="1">
      <c r="A205" s="112">
        <f t="shared" si="8"/>
        <v>377</v>
      </c>
      <c r="B205" s="117" t="s">
        <v>3982</v>
      </c>
      <c r="C205" s="112" t="s">
        <v>608</v>
      </c>
      <c r="D205" s="117" t="s">
        <v>4210</v>
      </c>
      <c r="E205" s="117" t="str">
        <f t="shared" si="9"/>
        <v>10.10.377.254</v>
      </c>
      <c r="F205" s="112" t="s">
        <v>3974</v>
      </c>
      <c r="G205" s="112" t="s">
        <v>3978</v>
      </c>
      <c r="H205" s="112" t="s">
        <v>608</v>
      </c>
      <c r="M205" s="117" t="str">
        <f t="shared" si="10"/>
        <v>10.10.38.0-254</v>
      </c>
    </row>
    <row r="206" spans="1:13" ht="12.75" customHeight="1">
      <c r="A206" s="112">
        <f t="shared" si="8"/>
        <v>378</v>
      </c>
      <c r="B206" s="117" t="s">
        <v>3982</v>
      </c>
      <c r="C206" s="112" t="s">
        <v>608</v>
      </c>
      <c r="D206" s="117" t="s">
        <v>4211</v>
      </c>
      <c r="E206" s="117" t="str">
        <f t="shared" si="9"/>
        <v>10.10.378.254</v>
      </c>
      <c r="F206" s="112" t="s">
        <v>3974</v>
      </c>
      <c r="G206" s="112" t="s">
        <v>3978</v>
      </c>
      <c r="I206" s="112" t="s">
        <v>608</v>
      </c>
      <c r="M206" s="117" t="str">
        <f t="shared" si="10"/>
        <v>10.10.39.0-254</v>
      </c>
    </row>
    <row r="207" spans="1:13" ht="12.75" customHeight="1">
      <c r="A207" s="120">
        <v>4</v>
      </c>
      <c r="B207" s="121" t="s">
        <v>4212</v>
      </c>
      <c r="C207" s="120" t="s">
        <v>3971</v>
      </c>
      <c r="D207" s="121" t="s">
        <v>4213</v>
      </c>
      <c r="E207" s="117" t="s">
        <v>4214</v>
      </c>
      <c r="F207" s="112" t="s">
        <v>3974</v>
      </c>
      <c r="G207" s="120" t="s">
        <v>3978</v>
      </c>
      <c r="M207" s="117" t="str">
        <f t="shared" si="10"/>
        <v>10.10.4.0-254</v>
      </c>
    </row>
    <row r="208" spans="1:13" ht="13.5" hidden="1" customHeight="1">
      <c r="A208" s="112">
        <f>A207+1</f>
        <v>5</v>
      </c>
      <c r="D208" s="117" t="s">
        <v>4215</v>
      </c>
      <c r="E208" s="117" t="str">
        <f>"10.10."&amp;A208&amp;".254"</f>
        <v>10.10.5.254</v>
      </c>
      <c r="F208" s="112" t="s">
        <v>3974</v>
      </c>
      <c r="G208" s="112" t="s">
        <v>3978</v>
      </c>
    </row>
    <row r="209" spans="1:13" ht="13.5" customHeight="1">
      <c r="A209" s="112">
        <f>A208+1</f>
        <v>6</v>
      </c>
      <c r="B209" s="117" t="s">
        <v>3982</v>
      </c>
      <c r="C209" s="112" t="s">
        <v>686</v>
      </c>
      <c r="D209" s="117" t="s">
        <v>4216</v>
      </c>
      <c r="E209" s="117" t="str">
        <f>"10.10."&amp;A209&amp;".254"</f>
        <v>10.10.6.254</v>
      </c>
      <c r="F209" s="112" t="s">
        <v>3974</v>
      </c>
      <c r="G209" s="112" t="s">
        <v>3978</v>
      </c>
      <c r="H209" s="112" t="s">
        <v>686</v>
      </c>
      <c r="J209" s="112" t="s">
        <v>608</v>
      </c>
      <c r="M209" s="117" t="str">
        <f>D209&amp;"-254"</f>
        <v>10.10.40.0-254</v>
      </c>
    </row>
    <row r="210" spans="1:13" ht="12.75" hidden="1" customHeight="1">
      <c r="A210" s="112">
        <v>375</v>
      </c>
      <c r="D210" s="117" t="s">
        <v>4217</v>
      </c>
      <c r="E210" s="117" t="e">
        <f>"10.11."&amp;#REF!&amp;".254"</f>
        <v>#REF!</v>
      </c>
      <c r="F210" s="112" t="s">
        <v>3974</v>
      </c>
      <c r="G210" s="112" t="s">
        <v>3978</v>
      </c>
    </row>
    <row r="211" spans="1:13" ht="13.5" hidden="1" customHeight="1">
      <c r="A211" s="112">
        <f>A210+1</f>
        <v>376</v>
      </c>
      <c r="D211" s="117" t="s">
        <v>4218</v>
      </c>
      <c r="E211" s="117" t="str">
        <f>"10.10."&amp;A211&amp;".254"</f>
        <v>10.10.376.254</v>
      </c>
      <c r="F211" s="112" t="s">
        <v>3974</v>
      </c>
      <c r="G211" s="112" t="s">
        <v>3978</v>
      </c>
    </row>
    <row r="212" spans="1:13" ht="12.75" hidden="1" customHeight="1">
      <c r="A212" s="112">
        <v>376</v>
      </c>
      <c r="D212" s="117" t="s">
        <v>4219</v>
      </c>
      <c r="E212" s="117" t="e">
        <f>"10.11."&amp;#REF!&amp;".254"</f>
        <v>#REF!</v>
      </c>
      <c r="F212" s="112" t="s">
        <v>3974</v>
      </c>
      <c r="G212" s="112" t="s">
        <v>3978</v>
      </c>
    </row>
    <row r="213" spans="1:13" ht="13.5" hidden="1" customHeight="1">
      <c r="A213" s="112">
        <f>A212+1</f>
        <v>377</v>
      </c>
      <c r="D213" s="117" t="s">
        <v>4220</v>
      </c>
      <c r="E213" s="117" t="str">
        <f>"10.10."&amp;A213&amp;".254"</f>
        <v>10.10.377.254</v>
      </c>
      <c r="F213" s="112" t="s">
        <v>3974</v>
      </c>
      <c r="G213" s="112" t="s">
        <v>3978</v>
      </c>
    </row>
    <row r="214" spans="1:13" ht="12.75" hidden="1" customHeight="1">
      <c r="A214" s="112">
        <v>377</v>
      </c>
      <c r="D214" s="117" t="s">
        <v>4221</v>
      </c>
      <c r="E214" s="117" t="e">
        <f>"10.11."&amp;#REF!&amp;".254"</f>
        <v>#REF!</v>
      </c>
      <c r="F214" s="112" t="s">
        <v>3974</v>
      </c>
      <c r="G214" s="112" t="s">
        <v>3978</v>
      </c>
    </row>
    <row r="215" spans="1:13" ht="12" hidden="1" customHeight="1">
      <c r="A215" s="112">
        <f t="shared" ref="A215:A227" si="11">A214+1</f>
        <v>378</v>
      </c>
      <c r="D215" s="117" t="s">
        <v>4222</v>
      </c>
      <c r="E215" s="117" t="str">
        <f t="shared" ref="E215:E227" si="12">"10.10."&amp;A215&amp;".254"</f>
        <v>10.10.378.254</v>
      </c>
      <c r="F215" s="112" t="s">
        <v>3974</v>
      </c>
      <c r="G215" s="112" t="s">
        <v>3978</v>
      </c>
    </row>
    <row r="216" spans="1:13" ht="12.75" customHeight="1">
      <c r="A216" s="112">
        <f t="shared" si="11"/>
        <v>379</v>
      </c>
      <c r="B216" s="117" t="s">
        <v>3982</v>
      </c>
      <c r="C216" s="112" t="s">
        <v>686</v>
      </c>
      <c r="D216" s="117" t="s">
        <v>4223</v>
      </c>
      <c r="E216" s="117" t="str">
        <f t="shared" si="12"/>
        <v>10.10.379.254</v>
      </c>
      <c r="F216" s="112" t="s">
        <v>3974</v>
      </c>
      <c r="G216" s="112" t="s">
        <v>3978</v>
      </c>
      <c r="I216" s="112" t="s">
        <v>686</v>
      </c>
      <c r="M216" s="117" t="str">
        <f>D216&amp;"-254"</f>
        <v>10.10.41.0-254</v>
      </c>
    </row>
    <row r="217" spans="1:13" ht="13.5" customHeight="1">
      <c r="A217" s="112">
        <f t="shared" si="11"/>
        <v>380</v>
      </c>
      <c r="B217" s="117" t="s">
        <v>3982</v>
      </c>
      <c r="C217" s="112" t="s">
        <v>4224</v>
      </c>
      <c r="D217" s="117" t="s">
        <v>4225</v>
      </c>
      <c r="E217" s="117" t="str">
        <f t="shared" si="12"/>
        <v>10.10.380.254</v>
      </c>
      <c r="F217" s="112" t="s">
        <v>3974</v>
      </c>
      <c r="G217" s="112" t="s">
        <v>3978</v>
      </c>
      <c r="H217" s="112" t="s">
        <v>689</v>
      </c>
      <c r="J217" s="112" t="s">
        <v>686</v>
      </c>
      <c r="M217" s="117" t="str">
        <f>D217&amp;"-254"</f>
        <v>10.10.42.0-254</v>
      </c>
    </row>
    <row r="218" spans="1:13" ht="12" hidden="1" customHeight="1">
      <c r="A218" s="112">
        <f t="shared" si="11"/>
        <v>381</v>
      </c>
      <c r="D218" s="117" t="s">
        <v>4226</v>
      </c>
      <c r="E218" s="117" t="str">
        <f t="shared" si="12"/>
        <v>10.10.381.254</v>
      </c>
      <c r="F218" s="112" t="s">
        <v>3974</v>
      </c>
      <c r="G218" s="112" t="s">
        <v>3978</v>
      </c>
    </row>
    <row r="219" spans="1:13" ht="12" customHeight="1">
      <c r="A219" s="112">
        <f t="shared" si="11"/>
        <v>382</v>
      </c>
      <c r="B219" s="117" t="s">
        <v>3982</v>
      </c>
      <c r="C219" s="112" t="s">
        <v>689</v>
      </c>
      <c r="D219" s="117" t="s">
        <v>4227</v>
      </c>
      <c r="E219" s="117" t="str">
        <f t="shared" si="12"/>
        <v>10.10.382.254</v>
      </c>
      <c r="F219" s="112" t="s">
        <v>3974</v>
      </c>
      <c r="G219" s="112" t="s">
        <v>3978</v>
      </c>
      <c r="I219" s="112" t="s">
        <v>689</v>
      </c>
      <c r="M219" s="117" t="str">
        <f>D219&amp;"-254"</f>
        <v>10.10.43.0-254</v>
      </c>
    </row>
    <row r="220" spans="1:13" ht="14.15" customHeight="1">
      <c r="A220" s="112">
        <f t="shared" si="11"/>
        <v>383</v>
      </c>
      <c r="B220" s="117" t="s">
        <v>3982</v>
      </c>
      <c r="C220" s="112" t="s">
        <v>689</v>
      </c>
      <c r="D220" s="117" t="s">
        <v>4228</v>
      </c>
      <c r="E220" s="117" t="str">
        <f t="shared" si="12"/>
        <v>10.10.383.254</v>
      </c>
      <c r="F220" s="112" t="s">
        <v>3974</v>
      </c>
      <c r="G220" s="112" t="s">
        <v>3978</v>
      </c>
      <c r="J220" s="112" t="s">
        <v>689</v>
      </c>
      <c r="M220" s="117" t="str">
        <f>D220&amp;"-254"</f>
        <v>10.10.44.0-254</v>
      </c>
    </row>
    <row r="221" spans="1:13" ht="13.5" customHeight="1">
      <c r="A221" s="112">
        <f t="shared" si="11"/>
        <v>384</v>
      </c>
      <c r="B221" s="117" t="s">
        <v>3982</v>
      </c>
      <c r="C221" s="112" t="s">
        <v>650</v>
      </c>
      <c r="D221" s="117" t="s">
        <v>4229</v>
      </c>
      <c r="E221" s="117" t="str">
        <f t="shared" si="12"/>
        <v>10.10.384.254</v>
      </c>
      <c r="F221" s="112" t="s">
        <v>3974</v>
      </c>
      <c r="G221" s="112" t="s">
        <v>3978</v>
      </c>
      <c r="H221" s="112" t="s">
        <v>650</v>
      </c>
      <c r="M221" s="117" t="str">
        <f>D221&amp;"-254"</f>
        <v>10.10.45.0-254</v>
      </c>
    </row>
    <row r="222" spans="1:13" ht="12.65" hidden="1" customHeight="1">
      <c r="A222" s="112">
        <f t="shared" si="11"/>
        <v>385</v>
      </c>
      <c r="D222" s="117" t="s">
        <v>4230</v>
      </c>
      <c r="E222" s="117" t="str">
        <f t="shared" si="12"/>
        <v>10.10.385.254</v>
      </c>
      <c r="F222" s="112" t="s">
        <v>3974</v>
      </c>
      <c r="G222" s="112" t="s">
        <v>3978</v>
      </c>
    </row>
    <row r="223" spans="1:13" ht="12.65" customHeight="1">
      <c r="A223" s="112">
        <f t="shared" si="11"/>
        <v>386</v>
      </c>
      <c r="B223" s="117" t="s">
        <v>3982</v>
      </c>
      <c r="C223" s="112" t="s">
        <v>650</v>
      </c>
      <c r="D223" s="117" t="s">
        <v>4231</v>
      </c>
      <c r="E223" s="117" t="str">
        <f t="shared" si="12"/>
        <v>10.10.386.254</v>
      </c>
      <c r="F223" s="112" t="s">
        <v>3974</v>
      </c>
      <c r="G223" s="112" t="s">
        <v>3978</v>
      </c>
      <c r="I223" s="112" t="s">
        <v>650</v>
      </c>
      <c r="M223" s="117" t="str">
        <f>D223&amp;"-254"</f>
        <v>10.10.46.0-254</v>
      </c>
    </row>
    <row r="224" spans="1:13" ht="11.9" customHeight="1">
      <c r="A224" s="112">
        <f t="shared" si="11"/>
        <v>387</v>
      </c>
      <c r="B224" s="117" t="s">
        <v>3982</v>
      </c>
      <c r="C224" s="112" t="s">
        <v>4232</v>
      </c>
      <c r="D224" s="117" t="s">
        <v>4233</v>
      </c>
      <c r="E224" s="117" t="str">
        <f t="shared" si="12"/>
        <v>10.10.387.254</v>
      </c>
      <c r="F224" s="112" t="s">
        <v>3974</v>
      </c>
      <c r="G224" s="112" t="s">
        <v>3978</v>
      </c>
      <c r="H224" s="112" t="s">
        <v>653</v>
      </c>
      <c r="J224" s="112" t="s">
        <v>650</v>
      </c>
      <c r="M224" s="117" t="str">
        <f>D224&amp;"-254"</f>
        <v>10.10.47.0-254</v>
      </c>
    </row>
    <row r="225" spans="1:13" ht="12.65" customHeight="1">
      <c r="A225" s="112">
        <f t="shared" si="11"/>
        <v>388</v>
      </c>
      <c r="B225" s="117" t="s">
        <v>3982</v>
      </c>
      <c r="C225" s="112" t="s">
        <v>653</v>
      </c>
      <c r="D225" s="117" t="s">
        <v>4234</v>
      </c>
      <c r="E225" s="117" t="str">
        <f t="shared" si="12"/>
        <v>10.10.388.254</v>
      </c>
      <c r="F225" s="112" t="s">
        <v>3974</v>
      </c>
      <c r="G225" s="112" t="s">
        <v>3978</v>
      </c>
      <c r="I225" s="112" t="s">
        <v>653</v>
      </c>
      <c r="M225" s="117" t="str">
        <f>D225&amp;"-254"</f>
        <v>10.10.48.0-254</v>
      </c>
    </row>
    <row r="226" spans="1:13" ht="14.15" hidden="1" customHeight="1">
      <c r="A226" s="112">
        <f t="shared" si="11"/>
        <v>389</v>
      </c>
      <c r="D226" s="117" t="s">
        <v>4235</v>
      </c>
      <c r="E226" s="117" t="str">
        <f t="shared" si="12"/>
        <v>10.10.389.254</v>
      </c>
      <c r="F226" s="112" t="s">
        <v>3974</v>
      </c>
      <c r="G226" s="112" t="s">
        <v>3978</v>
      </c>
    </row>
    <row r="227" spans="1:13" ht="11.9" customHeight="1">
      <c r="A227" s="112">
        <f t="shared" si="11"/>
        <v>390</v>
      </c>
      <c r="B227" s="117" t="s">
        <v>3982</v>
      </c>
      <c r="C227" s="112" t="s">
        <v>4236</v>
      </c>
      <c r="D227" s="117" t="s">
        <v>4237</v>
      </c>
      <c r="E227" s="117" t="str">
        <f t="shared" si="12"/>
        <v>10.10.390.254</v>
      </c>
      <c r="F227" s="112" t="s">
        <v>3974</v>
      </c>
      <c r="G227" s="112" t="s">
        <v>3978</v>
      </c>
      <c r="H227" s="112" t="s">
        <v>656</v>
      </c>
      <c r="J227" s="112" t="s">
        <v>653</v>
      </c>
      <c r="M227" s="117" t="str">
        <f t="shared" ref="M227:M233" si="13">D227&amp;"-254"</f>
        <v>10.10.49.0-254</v>
      </c>
    </row>
    <row r="228" spans="1:13" ht="13.4" customHeight="1">
      <c r="A228" s="120">
        <v>5</v>
      </c>
      <c r="B228" s="121" t="s">
        <v>4238</v>
      </c>
      <c r="C228" s="120" t="s">
        <v>3971</v>
      </c>
      <c r="D228" s="121" t="s">
        <v>4239</v>
      </c>
      <c r="E228" s="117" t="s">
        <v>4240</v>
      </c>
      <c r="F228" s="112" t="s">
        <v>3974</v>
      </c>
      <c r="G228" s="120" t="s">
        <v>3978</v>
      </c>
      <c r="M228" s="117" t="str">
        <f t="shared" si="13"/>
        <v>10.10.5.0-254</v>
      </c>
    </row>
    <row r="229" spans="1:13" ht="12" customHeight="1">
      <c r="A229" s="112">
        <f t="shared" ref="A229:A235" si="14">A228+1</f>
        <v>6</v>
      </c>
      <c r="B229" s="117" t="s">
        <v>3982</v>
      </c>
      <c r="C229" s="112" t="s">
        <v>656</v>
      </c>
      <c r="D229" s="117" t="s">
        <v>4241</v>
      </c>
      <c r="E229" s="117" t="str">
        <f t="shared" ref="E229:E235" si="15">"10.10."&amp;A229&amp;".254"</f>
        <v>10.10.6.254</v>
      </c>
      <c r="F229" s="112" t="s">
        <v>3974</v>
      </c>
      <c r="G229" s="112" t="s">
        <v>3978</v>
      </c>
      <c r="I229" s="112" t="s">
        <v>656</v>
      </c>
      <c r="M229" s="117" t="str">
        <f t="shared" si="13"/>
        <v>10.10.50.0-254</v>
      </c>
    </row>
    <row r="230" spans="1:13" ht="12.65" customHeight="1">
      <c r="A230" s="112">
        <f t="shared" si="14"/>
        <v>7</v>
      </c>
      <c r="B230" s="117" t="s">
        <v>3982</v>
      </c>
      <c r="C230" s="112" t="s">
        <v>656</v>
      </c>
      <c r="D230" s="117" t="s">
        <v>4242</v>
      </c>
      <c r="E230" s="117" t="str">
        <f t="shared" si="15"/>
        <v>10.10.7.254</v>
      </c>
      <c r="F230" s="112" t="s">
        <v>3974</v>
      </c>
      <c r="G230" s="112" t="s">
        <v>3978</v>
      </c>
      <c r="J230" s="112" t="s">
        <v>656</v>
      </c>
      <c r="M230" s="117" t="str">
        <f t="shared" si="13"/>
        <v>10.10.51.0-254</v>
      </c>
    </row>
    <row r="231" spans="1:13" ht="14.15" customHeight="1">
      <c r="A231" s="112">
        <f t="shared" si="14"/>
        <v>8</v>
      </c>
      <c r="B231" s="117" t="s">
        <v>3982</v>
      </c>
      <c r="C231" s="112" t="s">
        <v>659</v>
      </c>
      <c r="D231" s="117" t="s">
        <v>4243</v>
      </c>
      <c r="E231" s="117" t="str">
        <f t="shared" si="15"/>
        <v>10.10.8.254</v>
      </c>
      <c r="F231" s="112" t="s">
        <v>3974</v>
      </c>
      <c r="G231" s="112" t="s">
        <v>3978</v>
      </c>
      <c r="H231" s="112" t="s">
        <v>659</v>
      </c>
      <c r="M231" s="117" t="str">
        <f t="shared" si="13"/>
        <v>10.10.52.0-254</v>
      </c>
    </row>
    <row r="232" spans="1:13" ht="12" customHeight="1">
      <c r="A232" s="112">
        <f t="shared" si="14"/>
        <v>9</v>
      </c>
      <c r="B232" s="117" t="s">
        <v>3982</v>
      </c>
      <c r="C232" s="112" t="s">
        <v>659</v>
      </c>
      <c r="D232" s="117" t="s">
        <v>4244</v>
      </c>
      <c r="E232" s="117" t="str">
        <f t="shared" si="15"/>
        <v>10.10.9.254</v>
      </c>
      <c r="F232" s="112" t="s">
        <v>3974</v>
      </c>
      <c r="G232" s="112" t="s">
        <v>3978</v>
      </c>
      <c r="I232" s="112" t="s">
        <v>659</v>
      </c>
      <c r="M232" s="117" t="str">
        <f t="shared" si="13"/>
        <v>10.10.53.0-254</v>
      </c>
    </row>
    <row r="233" spans="1:13" ht="12.75" customHeight="1">
      <c r="A233" s="112">
        <f t="shared" si="14"/>
        <v>10</v>
      </c>
      <c r="B233" s="117" t="s">
        <v>3982</v>
      </c>
      <c r="C233" s="112" t="s">
        <v>4245</v>
      </c>
      <c r="D233" s="117" t="s">
        <v>4246</v>
      </c>
      <c r="E233" s="117" t="str">
        <f t="shared" si="15"/>
        <v>10.10.10.254</v>
      </c>
      <c r="F233" s="112" t="s">
        <v>3974</v>
      </c>
      <c r="G233" s="112" t="s">
        <v>3978</v>
      </c>
      <c r="H233" s="112" t="s">
        <v>662</v>
      </c>
      <c r="J233" s="112" t="s">
        <v>659</v>
      </c>
      <c r="M233" s="117" t="str">
        <f t="shared" si="13"/>
        <v>10.10.54.0-254</v>
      </c>
    </row>
    <row r="234" spans="1:13" ht="13.5" hidden="1" customHeight="1">
      <c r="A234" s="112">
        <f t="shared" si="14"/>
        <v>11</v>
      </c>
      <c r="D234" s="117" t="s">
        <v>4247</v>
      </c>
      <c r="E234" s="117" t="str">
        <f t="shared" si="15"/>
        <v>10.10.11.254</v>
      </c>
      <c r="F234" s="112" t="s">
        <v>3974</v>
      </c>
      <c r="G234" s="112" t="s">
        <v>3978</v>
      </c>
    </row>
    <row r="235" spans="1:13" ht="13.5" hidden="1" customHeight="1">
      <c r="A235" s="112">
        <f t="shared" si="14"/>
        <v>12</v>
      </c>
      <c r="D235" s="117" t="s">
        <v>4248</v>
      </c>
      <c r="E235" s="117" t="str">
        <f t="shared" si="15"/>
        <v>10.10.12.254</v>
      </c>
      <c r="F235" s="112" t="s">
        <v>3974</v>
      </c>
      <c r="G235" s="112" t="s">
        <v>3978</v>
      </c>
    </row>
    <row r="236" spans="1:13" ht="13.5" hidden="1" customHeight="1">
      <c r="A236" s="112">
        <v>383</v>
      </c>
      <c r="D236" s="117" t="s">
        <v>4249</v>
      </c>
      <c r="E236" s="117" t="e">
        <f>"10.11."&amp;#REF!&amp;".254"</f>
        <v>#REF!</v>
      </c>
      <c r="F236" s="112" t="s">
        <v>3974</v>
      </c>
      <c r="G236" s="112" t="s">
        <v>3978</v>
      </c>
    </row>
    <row r="237" spans="1:13" ht="13.5" hidden="1" customHeight="1">
      <c r="A237" s="112">
        <f>A236+1</f>
        <v>384</v>
      </c>
      <c r="D237" s="117" t="s">
        <v>4250</v>
      </c>
      <c r="E237" s="117" t="str">
        <f>"10.10."&amp;A237&amp;".254"</f>
        <v>10.10.384.254</v>
      </c>
      <c r="F237" s="112" t="s">
        <v>3974</v>
      </c>
      <c r="G237" s="112" t="s">
        <v>3978</v>
      </c>
    </row>
    <row r="238" spans="1:13" ht="12.75" hidden="1" customHeight="1">
      <c r="A238" s="112">
        <f>A237+1</f>
        <v>385</v>
      </c>
      <c r="D238" s="117" t="s">
        <v>4251</v>
      </c>
      <c r="E238" s="117" t="str">
        <f>"10.10."&amp;A238&amp;".254"</f>
        <v>10.10.385.254</v>
      </c>
      <c r="F238" s="112" t="s">
        <v>3974</v>
      </c>
      <c r="G238" s="112" t="s">
        <v>3978</v>
      </c>
    </row>
    <row r="239" spans="1:13" ht="12" hidden="1" customHeight="1">
      <c r="A239" s="112">
        <v>384</v>
      </c>
      <c r="D239" s="117" t="s">
        <v>4252</v>
      </c>
      <c r="E239" s="117" t="e">
        <f>"10.11."&amp;#REF!&amp;".254"</f>
        <v>#REF!</v>
      </c>
      <c r="F239" s="112" t="s">
        <v>3974</v>
      </c>
      <c r="G239" s="112" t="s">
        <v>3978</v>
      </c>
    </row>
    <row r="240" spans="1:13" ht="12" hidden="1" customHeight="1">
      <c r="A240" s="112">
        <f>A239+1</f>
        <v>385</v>
      </c>
      <c r="D240" s="117" t="s">
        <v>4253</v>
      </c>
      <c r="E240" s="117" t="str">
        <f>"10.10."&amp;A240&amp;".254"</f>
        <v>10.10.385.254</v>
      </c>
      <c r="F240" s="112" t="s">
        <v>3974</v>
      </c>
      <c r="G240" s="112" t="s">
        <v>3978</v>
      </c>
    </row>
    <row r="241" spans="1:13" ht="12" hidden="1" customHeight="1">
      <c r="A241" s="112">
        <v>385</v>
      </c>
      <c r="D241" s="117" t="s">
        <v>4254</v>
      </c>
      <c r="E241" s="117" t="e">
        <f>"10.11."&amp;#REF!&amp;".254"</f>
        <v>#REF!</v>
      </c>
      <c r="F241" s="112" t="s">
        <v>3974</v>
      </c>
      <c r="G241" s="112" t="s">
        <v>3978</v>
      </c>
    </row>
    <row r="242" spans="1:13" ht="12" hidden="1" customHeight="1">
      <c r="A242" s="112">
        <f>A241+1</f>
        <v>386</v>
      </c>
      <c r="D242" s="117" t="s">
        <v>4255</v>
      </c>
      <c r="E242" s="117" t="str">
        <f>"10.10."&amp;A242&amp;".254"</f>
        <v>10.10.386.254</v>
      </c>
      <c r="F242" s="112" t="s">
        <v>3974</v>
      </c>
      <c r="G242" s="112" t="s">
        <v>3978</v>
      </c>
    </row>
    <row r="243" spans="1:13" ht="12" hidden="1" customHeight="1">
      <c r="A243" s="112">
        <v>386</v>
      </c>
      <c r="D243" s="117" t="s">
        <v>4256</v>
      </c>
      <c r="E243" s="117" t="e">
        <f>"10.11."&amp;#REF!&amp;".254"</f>
        <v>#REF!</v>
      </c>
      <c r="F243" s="112" t="s">
        <v>3974</v>
      </c>
      <c r="G243" s="112" t="s">
        <v>3978</v>
      </c>
    </row>
    <row r="244" spans="1:13" ht="12" customHeight="1">
      <c r="A244" s="112">
        <f>A243+1</f>
        <v>387</v>
      </c>
      <c r="B244" s="117" t="s">
        <v>3982</v>
      </c>
      <c r="C244" s="112" t="s">
        <v>662</v>
      </c>
      <c r="D244" s="117" t="s">
        <v>4257</v>
      </c>
      <c r="E244" s="117" t="str">
        <f>"10.10."&amp;A244&amp;".254"</f>
        <v>10.10.387.254</v>
      </c>
      <c r="F244" s="112" t="s">
        <v>3974</v>
      </c>
      <c r="G244" s="112" t="s">
        <v>3978</v>
      </c>
      <c r="I244" s="112" t="s">
        <v>662</v>
      </c>
      <c r="M244" s="117" t="str">
        <f t="shared" ref="M244:M252" si="16">D244&amp;"-254"</f>
        <v>10.10.55.0-254</v>
      </c>
    </row>
    <row r="245" spans="1:13" ht="12" customHeight="1">
      <c r="A245" s="112">
        <f>A244+1</f>
        <v>388</v>
      </c>
      <c r="B245" s="117" t="s">
        <v>3982</v>
      </c>
      <c r="C245" s="112" t="s">
        <v>4258</v>
      </c>
      <c r="D245" s="117" t="s">
        <v>4259</v>
      </c>
      <c r="E245" s="117" t="str">
        <f>"10.10."&amp;A245&amp;".254"</f>
        <v>10.10.388.254</v>
      </c>
      <c r="F245" s="112" t="s">
        <v>3974</v>
      </c>
      <c r="G245" s="112" t="s">
        <v>3978</v>
      </c>
      <c r="H245" s="112" t="s">
        <v>665</v>
      </c>
      <c r="J245" s="112" t="s">
        <v>662</v>
      </c>
      <c r="M245" s="117" t="str">
        <f t="shared" si="16"/>
        <v>10.10.56.0-254</v>
      </c>
    </row>
    <row r="246" spans="1:13" ht="12" customHeight="1">
      <c r="A246" s="112">
        <f>A245+1</f>
        <v>389</v>
      </c>
      <c r="B246" s="117" t="s">
        <v>3982</v>
      </c>
      <c r="C246" s="112" t="s">
        <v>665</v>
      </c>
      <c r="D246" s="117" t="s">
        <v>4260</v>
      </c>
      <c r="E246" s="117" t="str">
        <f>"10.10."&amp;A246&amp;".254"</f>
        <v>10.10.389.254</v>
      </c>
      <c r="F246" s="112" t="s">
        <v>3974</v>
      </c>
      <c r="G246" s="112" t="s">
        <v>3978</v>
      </c>
      <c r="I246" s="112" t="s">
        <v>665</v>
      </c>
      <c r="M246" s="117" t="str">
        <f t="shared" si="16"/>
        <v>10.10.57.0-254</v>
      </c>
    </row>
    <row r="247" spans="1:13" ht="12" customHeight="1">
      <c r="A247" s="112">
        <f>A246+1</f>
        <v>390</v>
      </c>
      <c r="B247" s="117" t="s">
        <v>3982</v>
      </c>
      <c r="C247" s="112" t="s">
        <v>665</v>
      </c>
      <c r="D247" s="117" t="s">
        <v>4261</v>
      </c>
      <c r="E247" s="117" t="str">
        <f>"10.10."&amp;A247&amp;".254"</f>
        <v>10.10.390.254</v>
      </c>
      <c r="F247" s="112" t="s">
        <v>3974</v>
      </c>
      <c r="G247" s="112" t="s">
        <v>3978</v>
      </c>
      <c r="J247" s="112" t="s">
        <v>665</v>
      </c>
      <c r="M247" s="117" t="str">
        <f t="shared" si="16"/>
        <v>10.10.58.0-254</v>
      </c>
    </row>
    <row r="248" spans="1:13" ht="12" customHeight="1">
      <c r="A248" s="112">
        <f>A247+1</f>
        <v>391</v>
      </c>
      <c r="B248" s="117" t="s">
        <v>3982</v>
      </c>
      <c r="C248" s="112" t="s">
        <v>668</v>
      </c>
      <c r="D248" s="117" t="s">
        <v>4262</v>
      </c>
      <c r="E248" s="117" t="str">
        <f>"10.10."&amp;A248&amp;".254"</f>
        <v>10.10.391.254</v>
      </c>
      <c r="F248" s="112" t="s">
        <v>3974</v>
      </c>
      <c r="G248" s="112" t="s">
        <v>3978</v>
      </c>
      <c r="H248" s="112" t="s">
        <v>668</v>
      </c>
      <c r="M248" s="117" t="str">
        <f t="shared" si="16"/>
        <v>10.10.59.0-254</v>
      </c>
    </row>
    <row r="249" spans="1:13" ht="12" customHeight="1">
      <c r="A249" s="120">
        <v>6</v>
      </c>
      <c r="B249" s="121" t="s">
        <v>4263</v>
      </c>
      <c r="C249" s="120" t="s">
        <v>3971</v>
      </c>
      <c r="D249" s="121" t="s">
        <v>4264</v>
      </c>
      <c r="E249" s="117" t="s">
        <v>4265</v>
      </c>
      <c r="F249" s="112" t="s">
        <v>3974</v>
      </c>
      <c r="G249" s="120" t="s">
        <v>3978</v>
      </c>
      <c r="M249" s="117" t="str">
        <f t="shared" si="16"/>
        <v>10.10.6.0-254</v>
      </c>
    </row>
    <row r="250" spans="1:13" ht="12" customHeight="1">
      <c r="A250" s="112">
        <f>A249+1</f>
        <v>7</v>
      </c>
      <c r="B250" s="117" t="s">
        <v>3982</v>
      </c>
      <c r="C250" s="112" t="s">
        <v>668</v>
      </c>
      <c r="D250" s="117" t="s">
        <v>4266</v>
      </c>
      <c r="E250" s="117" t="str">
        <f>"10.10."&amp;A250&amp;".254"</f>
        <v>10.10.7.254</v>
      </c>
      <c r="F250" s="112" t="s">
        <v>3974</v>
      </c>
      <c r="G250" s="112" t="s">
        <v>3978</v>
      </c>
      <c r="I250" s="112" t="s">
        <v>668</v>
      </c>
      <c r="M250" s="117" t="str">
        <f t="shared" si="16"/>
        <v>10.10.60.0-254</v>
      </c>
    </row>
    <row r="251" spans="1:13" ht="12" customHeight="1">
      <c r="A251" s="112">
        <f>A250+1</f>
        <v>8</v>
      </c>
      <c r="B251" s="117" t="s">
        <v>3982</v>
      </c>
      <c r="C251" s="112" t="s">
        <v>4267</v>
      </c>
      <c r="D251" s="117" t="s">
        <v>4268</v>
      </c>
      <c r="E251" s="117" t="str">
        <f>"10.10."&amp;A251&amp;".254"</f>
        <v>10.10.8.254</v>
      </c>
      <c r="F251" s="112" t="s">
        <v>3974</v>
      </c>
      <c r="G251" s="112" t="s">
        <v>3978</v>
      </c>
      <c r="H251" s="112" t="s">
        <v>671</v>
      </c>
      <c r="J251" s="112" t="s">
        <v>668</v>
      </c>
      <c r="M251" s="117" t="str">
        <f t="shared" si="16"/>
        <v>10.10.61.0-254</v>
      </c>
    </row>
    <row r="252" spans="1:13" ht="12" customHeight="1">
      <c r="A252" s="112">
        <f>A251+1</f>
        <v>9</v>
      </c>
      <c r="B252" s="117" t="s">
        <v>3982</v>
      </c>
      <c r="C252" s="112" t="s">
        <v>671</v>
      </c>
      <c r="D252" s="117" t="s">
        <v>4269</v>
      </c>
      <c r="E252" s="117" t="str">
        <f>"10.10."&amp;A252&amp;".254"</f>
        <v>10.10.9.254</v>
      </c>
      <c r="F252" s="112" t="s">
        <v>3974</v>
      </c>
      <c r="G252" s="112" t="s">
        <v>3978</v>
      </c>
      <c r="I252" s="112" t="s">
        <v>671</v>
      </c>
      <c r="M252" s="117" t="str">
        <f t="shared" si="16"/>
        <v>10.10.62.0-254</v>
      </c>
    </row>
    <row r="253" spans="1:13" ht="12" hidden="1" customHeight="1">
      <c r="A253" s="112">
        <f>A252+1</f>
        <v>10</v>
      </c>
      <c r="D253" s="117" t="s">
        <v>4270</v>
      </c>
      <c r="E253" s="117" t="str">
        <f>"10.10."&amp;A253&amp;".254"</f>
        <v>10.10.10.254</v>
      </c>
      <c r="F253" s="112" t="s">
        <v>3974</v>
      </c>
      <c r="G253" s="112" t="s">
        <v>3978</v>
      </c>
    </row>
    <row r="254" spans="1:13" ht="12" hidden="1" customHeight="1">
      <c r="A254" s="112">
        <f>A253+1</f>
        <v>11</v>
      </c>
      <c r="D254" s="117" t="s">
        <v>4271</v>
      </c>
      <c r="E254" s="117" t="str">
        <f>"10.10."&amp;A254&amp;".254"</f>
        <v>10.10.11.254</v>
      </c>
      <c r="F254" s="112" t="s">
        <v>3974</v>
      </c>
      <c r="G254" s="112" t="s">
        <v>3978</v>
      </c>
    </row>
    <row r="255" spans="1:13" ht="12" hidden="1" customHeight="1">
      <c r="A255" s="112">
        <v>390</v>
      </c>
      <c r="D255" s="117" t="s">
        <v>4272</v>
      </c>
      <c r="E255" s="117" t="e">
        <f>"10.11."&amp;#REF!&amp;".254"</f>
        <v>#REF!</v>
      </c>
      <c r="F255" s="112" t="s">
        <v>3974</v>
      </c>
      <c r="G255" s="112" t="s">
        <v>3978</v>
      </c>
    </row>
    <row r="256" spans="1:13" ht="12.75" hidden="1" customHeight="1">
      <c r="A256" s="112">
        <f>A255+1</f>
        <v>391</v>
      </c>
      <c r="D256" s="117" t="s">
        <v>4273</v>
      </c>
      <c r="E256" s="117" t="str">
        <f>"10.10."&amp;A256&amp;".254"</f>
        <v>10.10.391.254</v>
      </c>
      <c r="F256" s="112" t="s">
        <v>3974</v>
      </c>
      <c r="G256" s="112" t="s">
        <v>3978</v>
      </c>
    </row>
    <row r="257" spans="1:10" s="118" customFormat="1" ht="12" hidden="1" customHeight="1">
      <c r="A257" s="112">
        <v>391</v>
      </c>
      <c r="B257" s="117"/>
      <c r="C257" s="112"/>
      <c r="D257" s="117" t="s">
        <v>4274</v>
      </c>
      <c r="E257" s="117" t="str">
        <f>"10.11."&amp;A1&amp;".254"</f>
        <v>10.11.VLAN ID.254</v>
      </c>
      <c r="F257" s="112" t="s">
        <v>3974</v>
      </c>
      <c r="G257" s="112" t="s">
        <v>3978</v>
      </c>
      <c r="H257" s="112"/>
      <c r="I257" s="112"/>
      <c r="J257" s="112"/>
    </row>
    <row r="258" spans="1:10" ht="12" hidden="1" customHeight="1">
      <c r="A258" s="112">
        <f>A257+1</f>
        <v>392</v>
      </c>
      <c r="D258" s="117" t="s">
        <v>4275</v>
      </c>
      <c r="E258" s="117" t="str">
        <f>"10.10."&amp;A258&amp;".254"</f>
        <v>10.10.392.254</v>
      </c>
      <c r="F258" s="112" t="s">
        <v>3974</v>
      </c>
      <c r="G258" s="112" t="s">
        <v>3978</v>
      </c>
    </row>
    <row r="259" spans="1:10" ht="12" hidden="1" customHeight="1">
      <c r="A259" s="112">
        <v>392</v>
      </c>
      <c r="D259" s="117" t="s">
        <v>4276</v>
      </c>
      <c r="E259" s="117" t="str">
        <f>"10.11."&amp;A3&amp;".254"</f>
        <v>10.11.2.254</v>
      </c>
      <c r="F259" s="112" t="s">
        <v>3974</v>
      </c>
      <c r="G259" s="112" t="s">
        <v>3978</v>
      </c>
    </row>
    <row r="260" spans="1:10" ht="12" hidden="1" customHeight="1">
      <c r="A260" s="112">
        <f>A259+1</f>
        <v>393</v>
      </c>
      <c r="D260" s="117" t="s">
        <v>4277</v>
      </c>
      <c r="E260" s="117" t="str">
        <f>"10.10."&amp;A260&amp;".254"</f>
        <v>10.10.393.254</v>
      </c>
      <c r="F260" s="112" t="s">
        <v>3974</v>
      </c>
      <c r="G260" s="112" t="s">
        <v>3978</v>
      </c>
    </row>
    <row r="261" spans="1:10" ht="12" hidden="1" customHeight="1">
      <c r="A261" s="112">
        <v>393</v>
      </c>
      <c r="D261" s="117" t="s">
        <v>4278</v>
      </c>
      <c r="E261" s="117" t="str">
        <f>"10.11."&amp;A5&amp;".254"</f>
        <v>10.11.4.254</v>
      </c>
      <c r="F261" s="112" t="s">
        <v>3974</v>
      </c>
      <c r="G261" s="112" t="s">
        <v>3978</v>
      </c>
    </row>
    <row r="262" spans="1:10" ht="12" hidden="1" customHeight="1">
      <c r="A262" s="112">
        <f>A261+1</f>
        <v>394</v>
      </c>
      <c r="D262" s="117" t="s">
        <v>4279</v>
      </c>
      <c r="E262" s="117" t="str">
        <f>"10.10."&amp;A262&amp;".254"</f>
        <v>10.10.394.254</v>
      </c>
      <c r="F262" s="112" t="s">
        <v>3974</v>
      </c>
      <c r="G262" s="112" t="s">
        <v>3978</v>
      </c>
    </row>
    <row r="263" spans="1:10" ht="12" hidden="1" customHeight="1">
      <c r="A263" s="112">
        <v>394</v>
      </c>
      <c r="D263" s="117" t="s">
        <v>4280</v>
      </c>
      <c r="E263" s="117" t="str">
        <f>"10.11."&amp;A7&amp;".254"</f>
        <v>10.11.6.254</v>
      </c>
      <c r="F263" s="112" t="s">
        <v>3974</v>
      </c>
      <c r="G263" s="112" t="s">
        <v>3978</v>
      </c>
    </row>
    <row r="264" spans="1:10" ht="12" hidden="1" customHeight="1">
      <c r="A264" s="112">
        <f>A263+1</f>
        <v>395</v>
      </c>
      <c r="D264" s="117" t="s">
        <v>4281</v>
      </c>
      <c r="E264" s="117" t="str">
        <f>"10.10."&amp;A264&amp;".254"</f>
        <v>10.10.395.254</v>
      </c>
      <c r="F264" s="112" t="s">
        <v>3974</v>
      </c>
      <c r="G264" s="112" t="s">
        <v>3978</v>
      </c>
    </row>
    <row r="265" spans="1:10" ht="12" hidden="1" customHeight="1">
      <c r="A265" s="112">
        <v>395</v>
      </c>
      <c r="D265" s="117" t="s">
        <v>4282</v>
      </c>
      <c r="E265" s="117" t="str">
        <f>"10.11."&amp;A9&amp;".254"</f>
        <v>10.11.8.254</v>
      </c>
      <c r="F265" s="112" t="s">
        <v>3974</v>
      </c>
      <c r="G265" s="112" t="s">
        <v>3978</v>
      </c>
    </row>
    <row r="266" spans="1:10" ht="12" hidden="1" customHeight="1">
      <c r="A266" s="112">
        <f>A265+1</f>
        <v>396</v>
      </c>
      <c r="D266" s="117" t="s">
        <v>4283</v>
      </c>
      <c r="E266" s="117" t="str">
        <f>"10.10."&amp;A266&amp;".254"</f>
        <v>10.10.396.254</v>
      </c>
      <c r="F266" s="112" t="s">
        <v>3974</v>
      </c>
      <c r="G266" s="112" t="s">
        <v>3978</v>
      </c>
    </row>
    <row r="267" spans="1:10" ht="12" hidden="1" customHeight="1">
      <c r="A267" s="112">
        <v>396</v>
      </c>
      <c r="D267" s="117" t="s">
        <v>4284</v>
      </c>
      <c r="E267" s="117" t="str">
        <f>"10.11."&amp;A11&amp;".254"</f>
        <v>10.11.10.254</v>
      </c>
      <c r="F267" s="112" t="s">
        <v>3974</v>
      </c>
      <c r="G267" s="112" t="s">
        <v>3978</v>
      </c>
    </row>
    <row r="268" spans="1:10" ht="12" hidden="1" customHeight="1">
      <c r="A268" s="112">
        <f>A267+1</f>
        <v>397</v>
      </c>
      <c r="D268" s="117" t="s">
        <v>4285</v>
      </c>
      <c r="E268" s="117" t="str">
        <f>"10.10."&amp;A268&amp;".254"</f>
        <v>10.10.397.254</v>
      </c>
      <c r="F268" s="112" t="s">
        <v>3974</v>
      </c>
      <c r="G268" s="112" t="s">
        <v>3978</v>
      </c>
    </row>
    <row r="269" spans="1:10" ht="12" hidden="1" customHeight="1">
      <c r="A269" s="112">
        <v>397</v>
      </c>
      <c r="D269" s="117" t="s">
        <v>4286</v>
      </c>
      <c r="E269" s="117" t="str">
        <f>"10.11."&amp;A13&amp;".254"</f>
        <v>10.11.12.254</v>
      </c>
      <c r="F269" s="112" t="s">
        <v>3974</v>
      </c>
      <c r="G269" s="112" t="s">
        <v>3978</v>
      </c>
    </row>
    <row r="270" spans="1:10" ht="12" hidden="1" customHeight="1">
      <c r="A270" s="112">
        <f>A269+1</f>
        <v>398</v>
      </c>
      <c r="D270" s="117" t="s">
        <v>4287</v>
      </c>
      <c r="E270" s="117" t="str">
        <f>"10.10."&amp;A270&amp;".254"</f>
        <v>10.10.398.254</v>
      </c>
      <c r="F270" s="112" t="s">
        <v>3974</v>
      </c>
      <c r="G270" s="112" t="s">
        <v>3978</v>
      </c>
    </row>
    <row r="271" spans="1:10" ht="12" hidden="1" customHeight="1">
      <c r="A271" s="112">
        <v>398</v>
      </c>
      <c r="D271" s="117" t="s">
        <v>4288</v>
      </c>
      <c r="E271" s="117" t="str">
        <f>"10.11."&amp;A15&amp;".254"</f>
        <v>10.11.14.254</v>
      </c>
      <c r="F271" s="112" t="s">
        <v>3974</v>
      </c>
      <c r="G271" s="112" t="s">
        <v>3978</v>
      </c>
    </row>
    <row r="272" spans="1:10" ht="12" hidden="1" customHeight="1">
      <c r="A272" s="112">
        <f>A271+1</f>
        <v>399</v>
      </c>
      <c r="D272" s="117" t="s">
        <v>4289</v>
      </c>
      <c r="E272" s="117" t="str">
        <f>"10.10."&amp;A272&amp;".254"</f>
        <v>10.10.399.254</v>
      </c>
      <c r="F272" s="112" t="s">
        <v>3974</v>
      </c>
      <c r="G272" s="112" t="s">
        <v>3978</v>
      </c>
    </row>
    <row r="273" spans="1:13" ht="12" hidden="1" customHeight="1">
      <c r="A273" s="112">
        <v>399</v>
      </c>
      <c r="D273" s="117" t="s">
        <v>4290</v>
      </c>
      <c r="E273" s="117" t="str">
        <f>"10.11."&amp;A17&amp;".254"</f>
        <v>10.11.16.254</v>
      </c>
      <c r="F273" s="112" t="s">
        <v>3974</v>
      </c>
      <c r="G273" s="112" t="s">
        <v>3978</v>
      </c>
    </row>
    <row r="274" spans="1:13" ht="12" customHeight="1">
      <c r="A274" s="112">
        <f>A273+1</f>
        <v>400</v>
      </c>
      <c r="B274" s="117" t="s">
        <v>3982</v>
      </c>
      <c r="C274" s="112" t="s">
        <v>4291</v>
      </c>
      <c r="D274" s="117" t="s">
        <v>4292</v>
      </c>
      <c r="E274" s="117" t="str">
        <f>"10.10."&amp;A274&amp;".254"</f>
        <v>10.10.400.254</v>
      </c>
      <c r="F274" s="112" t="s">
        <v>3974</v>
      </c>
      <c r="G274" s="112" t="s">
        <v>3978</v>
      </c>
      <c r="H274" s="112" t="s">
        <v>644</v>
      </c>
      <c r="J274" s="112" t="s">
        <v>671</v>
      </c>
      <c r="M274" s="117" t="str">
        <f>D274&amp;"-254"</f>
        <v>10.10.63.0-254</v>
      </c>
    </row>
    <row r="275" spans="1:13" ht="12" hidden="1" customHeight="1">
      <c r="A275" s="112">
        <v>400</v>
      </c>
      <c r="D275" s="117" t="s">
        <v>4293</v>
      </c>
      <c r="E275" s="117" t="str">
        <f>"10.11."&amp;A19&amp;".254"</f>
        <v>10.11.18.254</v>
      </c>
      <c r="F275" s="112" t="s">
        <v>3974</v>
      </c>
      <c r="G275" s="112" t="s">
        <v>3978</v>
      </c>
    </row>
    <row r="276" spans="1:13" ht="12" customHeight="1">
      <c r="A276" s="112">
        <f>A275+1</f>
        <v>401</v>
      </c>
      <c r="B276" s="117" t="s">
        <v>3982</v>
      </c>
      <c r="C276" s="112" t="s">
        <v>644</v>
      </c>
      <c r="D276" s="117" t="s">
        <v>4294</v>
      </c>
      <c r="E276" s="117" t="str">
        <f>"10.10."&amp;A276&amp;".254"</f>
        <v>10.10.401.254</v>
      </c>
      <c r="F276" s="112" t="s">
        <v>3974</v>
      </c>
      <c r="G276" s="112" t="s">
        <v>3978</v>
      </c>
      <c r="I276" s="112" t="s">
        <v>644</v>
      </c>
      <c r="M276" s="117" t="str">
        <f>D276&amp;"-254"</f>
        <v>10.10.64.0-254</v>
      </c>
    </row>
    <row r="277" spans="1:13" ht="12" hidden="1" customHeight="1">
      <c r="A277" s="112">
        <v>401</v>
      </c>
      <c r="D277" s="117" t="s">
        <v>4295</v>
      </c>
      <c r="E277" s="117" t="str">
        <f>"10.11."&amp;A21&amp;".254"</f>
        <v>10.11.20.254</v>
      </c>
      <c r="F277" s="112" t="s">
        <v>3974</v>
      </c>
      <c r="G277" s="112" t="s">
        <v>3978</v>
      </c>
    </row>
    <row r="278" spans="1:13" ht="12" customHeight="1">
      <c r="A278" s="112">
        <f>A277+1</f>
        <v>402</v>
      </c>
      <c r="B278" s="117" t="s">
        <v>3982</v>
      </c>
      <c r="C278" s="112" t="s">
        <v>644</v>
      </c>
      <c r="D278" s="117" t="s">
        <v>4296</v>
      </c>
      <c r="E278" s="117" t="str">
        <f>"10.10."&amp;A278&amp;".254"</f>
        <v>10.10.402.254</v>
      </c>
      <c r="F278" s="112" t="s">
        <v>3974</v>
      </c>
      <c r="G278" s="112" t="s">
        <v>3978</v>
      </c>
      <c r="J278" s="112" t="s">
        <v>644</v>
      </c>
      <c r="M278" s="117" t="str">
        <f>D278&amp;"-254"</f>
        <v>10.10.65.0-254</v>
      </c>
    </row>
    <row r="279" spans="1:13" ht="12" hidden="1" customHeight="1">
      <c r="A279" s="112">
        <v>402</v>
      </c>
      <c r="D279" s="117" t="s">
        <v>4297</v>
      </c>
      <c r="E279" s="117" t="str">
        <f>"10.11."&amp;A23&amp;".254"</f>
        <v>10.11.22.254</v>
      </c>
      <c r="F279" s="112" t="s">
        <v>3974</v>
      </c>
      <c r="G279" s="112" t="s">
        <v>3978</v>
      </c>
    </row>
    <row r="280" spans="1:13" ht="12" customHeight="1">
      <c r="A280" s="112">
        <f>A279+1</f>
        <v>403</v>
      </c>
      <c r="B280" s="117" t="s">
        <v>3982</v>
      </c>
      <c r="C280" s="112" t="s">
        <v>632</v>
      </c>
      <c r="D280" s="117" t="s">
        <v>4298</v>
      </c>
      <c r="E280" s="117" t="str">
        <f>"10.10."&amp;A280&amp;".254"</f>
        <v>10.10.403.254</v>
      </c>
      <c r="F280" s="112" t="s">
        <v>3974</v>
      </c>
      <c r="G280" s="112" t="s">
        <v>3978</v>
      </c>
      <c r="H280" s="112" t="s">
        <v>632</v>
      </c>
      <c r="M280" s="117" t="str">
        <f>D280&amp;"-254"</f>
        <v>10.10.66.0-254</v>
      </c>
    </row>
    <row r="281" spans="1:13" ht="12" hidden="1" customHeight="1">
      <c r="A281" s="112">
        <v>403</v>
      </c>
      <c r="D281" s="117" t="s">
        <v>4299</v>
      </c>
      <c r="E281" s="117" t="str">
        <f>"10.11."&amp;A25&amp;".254"</f>
        <v>10.11.24.254</v>
      </c>
      <c r="F281" s="112" t="s">
        <v>3974</v>
      </c>
      <c r="G281" s="112" t="s">
        <v>3978</v>
      </c>
    </row>
    <row r="282" spans="1:13" ht="12" customHeight="1">
      <c r="A282" s="112">
        <f>A281+1</f>
        <v>404</v>
      </c>
      <c r="B282" s="117" t="s">
        <v>3982</v>
      </c>
      <c r="C282" s="112" t="s">
        <v>632</v>
      </c>
      <c r="D282" s="117" t="s">
        <v>4300</v>
      </c>
      <c r="E282" s="117" t="str">
        <f>"10.10."&amp;A282&amp;".254"</f>
        <v>10.10.404.254</v>
      </c>
      <c r="F282" s="112" t="s">
        <v>3974</v>
      </c>
      <c r="G282" s="112" t="s">
        <v>3978</v>
      </c>
      <c r="I282" s="112" t="s">
        <v>632</v>
      </c>
      <c r="M282" s="117" t="str">
        <f>D282&amp;"-254"</f>
        <v>10.10.67.0-254</v>
      </c>
    </row>
    <row r="283" spans="1:13" ht="12" hidden="1" customHeight="1">
      <c r="A283" s="112">
        <v>404</v>
      </c>
      <c r="D283" s="117" t="s">
        <v>4301</v>
      </c>
      <c r="E283" s="117" t="str">
        <f>"10.11."&amp;A27&amp;".254"</f>
        <v>10.11.26.254</v>
      </c>
      <c r="F283" s="112" t="s">
        <v>3974</v>
      </c>
      <c r="G283" s="112" t="s">
        <v>3978</v>
      </c>
    </row>
    <row r="284" spans="1:13" ht="12" customHeight="1">
      <c r="A284" s="112">
        <f>A283+1</f>
        <v>405</v>
      </c>
      <c r="B284" s="117" t="s">
        <v>3982</v>
      </c>
      <c r="C284" s="112" t="s">
        <v>626</v>
      </c>
      <c r="D284" s="117" t="s">
        <v>4302</v>
      </c>
      <c r="E284" s="117" t="str">
        <f>"10.10."&amp;A284&amp;".254"</f>
        <v>10.10.405.254</v>
      </c>
      <c r="F284" s="112" t="s">
        <v>3974</v>
      </c>
      <c r="G284" s="112" t="s">
        <v>3978</v>
      </c>
      <c r="H284" s="112" t="s">
        <v>626</v>
      </c>
      <c r="M284" s="117" t="str">
        <f>D284&amp;"-254"</f>
        <v>10.10.68.0-254</v>
      </c>
    </row>
    <row r="285" spans="1:13" ht="12" hidden="1" customHeight="1">
      <c r="A285" s="112">
        <v>405</v>
      </c>
      <c r="D285" s="117" t="s">
        <v>4303</v>
      </c>
      <c r="E285" s="117" t="str">
        <f>"10.11."&amp;A29&amp;".254"</f>
        <v>10.11.28.254</v>
      </c>
      <c r="F285" s="112" t="s">
        <v>3974</v>
      </c>
      <c r="G285" s="112" t="s">
        <v>3978</v>
      </c>
    </row>
    <row r="286" spans="1:13" ht="12" customHeight="1">
      <c r="A286" s="112">
        <f>A285+1</f>
        <v>406</v>
      </c>
      <c r="B286" s="117" t="s">
        <v>3982</v>
      </c>
      <c r="C286" s="112" t="s">
        <v>626</v>
      </c>
      <c r="D286" s="117" t="s">
        <v>4304</v>
      </c>
      <c r="E286" s="117" t="str">
        <f>"10.10."&amp;A286&amp;".254"</f>
        <v>10.10.406.254</v>
      </c>
      <c r="F286" s="112" t="s">
        <v>3974</v>
      </c>
      <c r="G286" s="112" t="s">
        <v>3978</v>
      </c>
      <c r="J286" s="112" t="s">
        <v>626</v>
      </c>
      <c r="M286" s="117" t="str">
        <f>D286&amp;"-254"</f>
        <v>10.10.69.0-254</v>
      </c>
    </row>
    <row r="287" spans="1:13" ht="12" hidden="1" customHeight="1">
      <c r="A287" s="112">
        <v>406</v>
      </c>
      <c r="D287" s="117" t="s">
        <v>4305</v>
      </c>
      <c r="E287" s="117" t="str">
        <f>"10.11."&amp;A31&amp;".254"</f>
        <v>10.11.30.254</v>
      </c>
      <c r="F287" s="112" t="s">
        <v>3974</v>
      </c>
      <c r="G287" s="112" t="s">
        <v>3978</v>
      </c>
    </row>
    <row r="288" spans="1:13" ht="12" customHeight="1">
      <c r="A288" s="120">
        <v>7</v>
      </c>
      <c r="B288" s="121" t="s">
        <v>4306</v>
      </c>
      <c r="C288" s="120" t="s">
        <v>3971</v>
      </c>
      <c r="D288" s="121" t="s">
        <v>4307</v>
      </c>
      <c r="E288" s="117" t="s">
        <v>4308</v>
      </c>
      <c r="F288" s="112" t="s">
        <v>3974</v>
      </c>
      <c r="G288" s="120" t="s">
        <v>3978</v>
      </c>
      <c r="M288" s="117" t="str">
        <f>D288&amp;"-254"</f>
        <v>10.10.7.0-254</v>
      </c>
    </row>
    <row r="289" spans="1:13" ht="12" hidden="1" customHeight="1">
      <c r="A289" s="112">
        <v>407</v>
      </c>
      <c r="D289" s="117" t="s">
        <v>4309</v>
      </c>
      <c r="E289" s="117" t="str">
        <f>"10.11."&amp;A33&amp;".254"</f>
        <v>10.11.256.254</v>
      </c>
      <c r="F289" s="112" t="s">
        <v>3974</v>
      </c>
      <c r="G289" s="112" t="s">
        <v>3978</v>
      </c>
    </row>
    <row r="290" spans="1:13" ht="12" customHeight="1">
      <c r="A290" s="112">
        <f>A289+1</f>
        <v>408</v>
      </c>
      <c r="B290" s="117" t="s">
        <v>3982</v>
      </c>
      <c r="C290" s="112" t="s">
        <v>617</v>
      </c>
      <c r="D290" s="117" t="s">
        <v>4310</v>
      </c>
      <c r="E290" s="117" t="str">
        <f>"10.10."&amp;A290&amp;".254"</f>
        <v>10.10.408.254</v>
      </c>
      <c r="F290" s="112" t="s">
        <v>3974</v>
      </c>
      <c r="G290" s="112" t="s">
        <v>3978</v>
      </c>
      <c r="I290" s="112" t="s">
        <v>617</v>
      </c>
      <c r="M290" s="117" t="str">
        <f>D290&amp;"-254"</f>
        <v>10.10.70.0-254</v>
      </c>
    </row>
    <row r="291" spans="1:13" ht="12" hidden="1" customHeight="1">
      <c r="A291" s="112">
        <v>408</v>
      </c>
      <c r="D291" s="117" t="s">
        <v>4311</v>
      </c>
      <c r="E291" s="117" t="str">
        <f>"10.11."&amp;A35&amp;".254"</f>
        <v>10.11.258.254</v>
      </c>
      <c r="F291" s="112" t="s">
        <v>3974</v>
      </c>
      <c r="G291" s="112" t="s">
        <v>3978</v>
      </c>
    </row>
    <row r="292" spans="1:13" ht="12" customHeight="1">
      <c r="A292" s="112">
        <f>A291+1</f>
        <v>409</v>
      </c>
      <c r="B292" s="117" t="s">
        <v>3982</v>
      </c>
      <c r="C292" s="112" t="s">
        <v>617</v>
      </c>
      <c r="D292" s="117" t="s">
        <v>4312</v>
      </c>
      <c r="E292" s="117" t="str">
        <f>"10.10."&amp;A292&amp;".254"</f>
        <v>10.10.409.254</v>
      </c>
      <c r="F292" s="112" t="s">
        <v>3974</v>
      </c>
      <c r="G292" s="112" t="s">
        <v>3978</v>
      </c>
      <c r="J292" s="112" t="s">
        <v>617</v>
      </c>
      <c r="M292" s="117" t="str">
        <f>D292&amp;"-254"</f>
        <v>10.10.71.0-254</v>
      </c>
    </row>
    <row r="293" spans="1:13" ht="12" hidden="1" customHeight="1">
      <c r="A293" s="112">
        <v>409</v>
      </c>
      <c r="D293" s="117" t="s">
        <v>4313</v>
      </c>
      <c r="E293" s="117" t="str">
        <f>"10.11."&amp;A37&amp;".254"</f>
        <v>10.11.260.254</v>
      </c>
      <c r="F293" s="112" t="s">
        <v>3974</v>
      </c>
      <c r="G293" s="112" t="s">
        <v>3978</v>
      </c>
    </row>
    <row r="294" spans="1:13" ht="12" customHeight="1">
      <c r="A294" s="112">
        <f>A293+1</f>
        <v>410</v>
      </c>
      <c r="B294" s="117" t="s">
        <v>3982</v>
      </c>
      <c r="C294" s="112" t="s">
        <v>647</v>
      </c>
      <c r="D294" s="117" t="s">
        <v>4314</v>
      </c>
      <c r="E294" s="117" t="str">
        <f>"10.10."&amp;A294&amp;".254"</f>
        <v>10.10.410.254</v>
      </c>
      <c r="F294" s="112" t="s">
        <v>3974</v>
      </c>
      <c r="G294" s="112" t="s">
        <v>3978</v>
      </c>
      <c r="H294" s="112" t="s">
        <v>647</v>
      </c>
      <c r="M294" s="117" t="str">
        <f>D294&amp;"-254"</f>
        <v>10.10.72.0-254</v>
      </c>
    </row>
    <row r="295" spans="1:13" ht="12" hidden="1" customHeight="1">
      <c r="A295" s="112">
        <v>410</v>
      </c>
      <c r="D295" s="117" t="s">
        <v>4315</v>
      </c>
      <c r="E295" s="117" t="str">
        <f>"10.11."&amp;A39&amp;".254"</f>
        <v>10.11.262.254</v>
      </c>
      <c r="F295" s="112" t="s">
        <v>3974</v>
      </c>
      <c r="G295" s="112" t="s">
        <v>3978</v>
      </c>
    </row>
    <row r="296" spans="1:13" ht="12" customHeight="1">
      <c r="A296" s="112">
        <f>A295+1</f>
        <v>411</v>
      </c>
      <c r="B296" s="117" t="s">
        <v>3982</v>
      </c>
      <c r="C296" s="112" t="s">
        <v>629</v>
      </c>
      <c r="D296" s="117" t="s">
        <v>4316</v>
      </c>
      <c r="E296" s="117" t="str">
        <f>"10.10."&amp;A296&amp;".254"</f>
        <v>10.10.411.254</v>
      </c>
      <c r="F296" s="112" t="s">
        <v>3974</v>
      </c>
      <c r="G296" s="112" t="s">
        <v>3978</v>
      </c>
      <c r="H296" s="112" t="s">
        <v>629</v>
      </c>
      <c r="M296" s="117" t="str">
        <f>D296&amp;"-254"</f>
        <v>10.10.73.0-254</v>
      </c>
    </row>
    <row r="297" spans="1:13" ht="12" hidden="1" customHeight="1">
      <c r="A297" s="112">
        <v>411</v>
      </c>
      <c r="D297" s="117" t="s">
        <v>4317</v>
      </c>
      <c r="E297" s="117" t="str">
        <f>"10.11."&amp;A41&amp;".254"</f>
        <v>10.11.264.254</v>
      </c>
      <c r="F297" s="112" t="s">
        <v>3974</v>
      </c>
      <c r="G297" s="112" t="s">
        <v>3978</v>
      </c>
    </row>
    <row r="298" spans="1:13" ht="12" customHeight="1">
      <c r="A298" s="112">
        <f>A297+1</f>
        <v>412</v>
      </c>
      <c r="B298" s="117" t="s">
        <v>3982</v>
      </c>
      <c r="C298" s="112" t="s">
        <v>629</v>
      </c>
      <c r="D298" s="117" t="s">
        <v>4318</v>
      </c>
      <c r="E298" s="117" t="str">
        <f>"10.10."&amp;A298&amp;".254"</f>
        <v>10.10.412.254</v>
      </c>
      <c r="F298" s="112" t="s">
        <v>3974</v>
      </c>
      <c r="G298" s="112" t="s">
        <v>3978</v>
      </c>
      <c r="I298" s="112" t="s">
        <v>629</v>
      </c>
      <c r="M298" s="117" t="str">
        <f>D298&amp;"-254"</f>
        <v>10.10.74.0-254</v>
      </c>
    </row>
    <row r="299" spans="1:13" ht="12" hidden="1" customHeight="1">
      <c r="A299" s="112">
        <v>412</v>
      </c>
      <c r="D299" s="117" t="s">
        <v>4319</v>
      </c>
      <c r="E299" s="117" t="str">
        <f>"10.11."&amp;A43&amp;".254"</f>
        <v>10.11.266.254</v>
      </c>
      <c r="F299" s="112" t="s">
        <v>3974</v>
      </c>
      <c r="G299" s="112" t="s">
        <v>3978</v>
      </c>
    </row>
    <row r="300" spans="1:13" ht="12" customHeight="1">
      <c r="A300" s="112">
        <f>A299+1</f>
        <v>413</v>
      </c>
      <c r="B300" s="117" t="s">
        <v>3982</v>
      </c>
      <c r="C300" s="112" t="s">
        <v>635</v>
      </c>
      <c r="D300" s="117" t="s">
        <v>4320</v>
      </c>
      <c r="E300" s="117" t="str">
        <f>"10.10."&amp;A300&amp;".254"</f>
        <v>10.10.413.254</v>
      </c>
      <c r="F300" s="112" t="s">
        <v>3974</v>
      </c>
      <c r="G300" s="112" t="s">
        <v>3978</v>
      </c>
      <c r="H300" s="112" t="s">
        <v>635</v>
      </c>
      <c r="M300" s="117" t="str">
        <f>D300&amp;"-254"</f>
        <v>10.10.76.0-254</v>
      </c>
    </row>
    <row r="301" spans="1:13" ht="12" hidden="1" customHeight="1">
      <c r="A301" s="112">
        <v>413</v>
      </c>
      <c r="D301" s="117" t="s">
        <v>4321</v>
      </c>
      <c r="E301" s="117" t="str">
        <f>"10.11."&amp;A45&amp;".254"</f>
        <v>10.11.268.254</v>
      </c>
      <c r="F301" s="112" t="s">
        <v>3974</v>
      </c>
      <c r="G301" s="112" t="s">
        <v>3978</v>
      </c>
    </row>
    <row r="302" spans="1:13" ht="12" customHeight="1">
      <c r="A302" s="112">
        <f>A301+1</f>
        <v>414</v>
      </c>
      <c r="B302" s="117" t="s">
        <v>3982</v>
      </c>
      <c r="C302" s="112" t="s">
        <v>635</v>
      </c>
      <c r="D302" s="117" t="s">
        <v>4322</v>
      </c>
      <c r="E302" s="117" t="str">
        <f>"10.10."&amp;A302&amp;".254"</f>
        <v>10.10.414.254</v>
      </c>
      <c r="F302" s="112" t="s">
        <v>3974</v>
      </c>
      <c r="G302" s="112" t="s">
        <v>3978</v>
      </c>
      <c r="I302" s="112" t="s">
        <v>635</v>
      </c>
      <c r="M302" s="117" t="str">
        <f>D302&amp;"-254"</f>
        <v>10.10.77.0-254</v>
      </c>
    </row>
    <row r="303" spans="1:13" ht="12" hidden="1" customHeight="1">
      <c r="A303" s="112">
        <v>414</v>
      </c>
      <c r="D303" s="117" t="s">
        <v>4323</v>
      </c>
      <c r="E303" s="117" t="str">
        <f>"10.11."&amp;A47&amp;".254"</f>
        <v>10.11.270.254</v>
      </c>
      <c r="F303" s="112" t="s">
        <v>3974</v>
      </c>
      <c r="G303" s="112" t="s">
        <v>3978</v>
      </c>
    </row>
    <row r="304" spans="1:13" ht="12" customHeight="1">
      <c r="A304" s="112">
        <f>A303+1</f>
        <v>415</v>
      </c>
      <c r="B304" s="117" t="s">
        <v>3982</v>
      </c>
      <c r="C304" s="112" t="s">
        <v>4324</v>
      </c>
      <c r="D304" s="117" t="s">
        <v>4325</v>
      </c>
      <c r="E304" s="117" t="str">
        <f>"10.10."&amp;A304&amp;".254"</f>
        <v>10.10.415.254</v>
      </c>
      <c r="F304" s="112" t="s">
        <v>3974</v>
      </c>
      <c r="G304" s="112" t="s">
        <v>3978</v>
      </c>
      <c r="H304" s="112" t="s">
        <v>599</v>
      </c>
      <c r="J304" s="112" t="s">
        <v>635</v>
      </c>
      <c r="M304" s="117" t="str">
        <f>D304&amp;"-254"</f>
        <v>10.10.78.0-254</v>
      </c>
    </row>
    <row r="305" spans="1:13" ht="12" hidden="1" customHeight="1">
      <c r="A305" s="112">
        <v>415</v>
      </c>
      <c r="D305" s="117" t="s">
        <v>4326</v>
      </c>
      <c r="E305" s="117" t="str">
        <f>"10.11."&amp;A49&amp;".254"</f>
        <v>10.11.272.254</v>
      </c>
      <c r="F305" s="112" t="s">
        <v>3974</v>
      </c>
      <c r="G305" s="112" t="s">
        <v>3978</v>
      </c>
    </row>
    <row r="306" spans="1:13" ht="12" hidden="1" customHeight="1">
      <c r="A306" s="112">
        <f>A305+1</f>
        <v>416</v>
      </c>
      <c r="D306" s="117" t="s">
        <v>4327</v>
      </c>
      <c r="E306" s="117" t="str">
        <f>"10.10."&amp;A306&amp;".254"</f>
        <v>10.10.416.254</v>
      </c>
      <c r="F306" s="112" t="s">
        <v>3974</v>
      </c>
      <c r="G306" s="112" t="s">
        <v>3978</v>
      </c>
    </row>
    <row r="307" spans="1:13" ht="12" hidden="1" customHeight="1">
      <c r="A307" s="112">
        <v>416</v>
      </c>
      <c r="D307" s="117" t="s">
        <v>4328</v>
      </c>
      <c r="E307" s="117" t="str">
        <f>"10.11."&amp;A51&amp;".254"</f>
        <v>10.11.274.254</v>
      </c>
      <c r="F307" s="112" t="s">
        <v>3974</v>
      </c>
      <c r="G307" s="112" t="s">
        <v>3978</v>
      </c>
    </row>
    <row r="308" spans="1:13" ht="12" hidden="1" customHeight="1">
      <c r="A308" s="112">
        <f>A307+1</f>
        <v>417</v>
      </c>
      <c r="D308" s="117" t="s">
        <v>4329</v>
      </c>
      <c r="E308" s="117" t="str">
        <f>"10.10."&amp;A308&amp;".254"</f>
        <v>10.10.417.254</v>
      </c>
      <c r="F308" s="112" t="s">
        <v>3974</v>
      </c>
      <c r="G308" s="112" t="s">
        <v>3978</v>
      </c>
    </row>
    <row r="309" spans="1:13" ht="12" hidden="1" customHeight="1">
      <c r="A309" s="112">
        <v>417</v>
      </c>
      <c r="D309" s="117" t="s">
        <v>4330</v>
      </c>
      <c r="E309" s="117" t="str">
        <f>"10.11."&amp;A53&amp;".254"</f>
        <v>10.11.276.254</v>
      </c>
      <c r="F309" s="112" t="s">
        <v>3974</v>
      </c>
      <c r="G309" s="112" t="s">
        <v>3978</v>
      </c>
    </row>
    <row r="310" spans="1:13" ht="12" hidden="1" customHeight="1">
      <c r="A310" s="112">
        <f>A309+1</f>
        <v>418</v>
      </c>
      <c r="D310" s="117" t="s">
        <v>4331</v>
      </c>
      <c r="E310" s="117" t="str">
        <f>"10.10."&amp;A310&amp;".254"</f>
        <v>10.10.418.254</v>
      </c>
      <c r="F310" s="112" t="s">
        <v>3974</v>
      </c>
      <c r="G310" s="112" t="s">
        <v>3978</v>
      </c>
    </row>
    <row r="311" spans="1:13" ht="12" hidden="1" customHeight="1">
      <c r="A311" s="112">
        <v>418</v>
      </c>
      <c r="D311" s="117" t="s">
        <v>4332</v>
      </c>
      <c r="E311" s="117" t="str">
        <f>"10.11."&amp;A55&amp;".254"</f>
        <v>10.11.278.254</v>
      </c>
      <c r="F311" s="112" t="s">
        <v>3974</v>
      </c>
      <c r="G311" s="112" t="s">
        <v>3978</v>
      </c>
    </row>
    <row r="312" spans="1:13" ht="12" customHeight="1">
      <c r="A312" s="112">
        <f>A311+1</f>
        <v>419</v>
      </c>
      <c r="B312" s="117" t="s">
        <v>3982</v>
      </c>
      <c r="C312" s="112" t="s">
        <v>599</v>
      </c>
      <c r="D312" s="117" t="s">
        <v>4333</v>
      </c>
      <c r="E312" s="117" t="str">
        <f>"10.10."&amp;A312&amp;".254"</f>
        <v>10.10.419.254</v>
      </c>
      <c r="F312" s="112" t="s">
        <v>3974</v>
      </c>
      <c r="G312" s="112" t="s">
        <v>3978</v>
      </c>
      <c r="I312" s="112" t="s">
        <v>599</v>
      </c>
      <c r="M312" s="117" t="str">
        <f>D312&amp;"-254"</f>
        <v>10.10.79.0-254</v>
      </c>
    </row>
    <row r="313" spans="1:13" ht="12" hidden="1" customHeight="1">
      <c r="A313" s="112">
        <v>419</v>
      </c>
      <c r="D313" s="117" t="s">
        <v>4334</v>
      </c>
      <c r="E313" s="117" t="str">
        <f>"10.11."&amp;A57&amp;".254"</f>
        <v>10.11.280.254</v>
      </c>
      <c r="F313" s="112" t="s">
        <v>3974</v>
      </c>
      <c r="G313" s="112" t="s">
        <v>3978</v>
      </c>
    </row>
    <row r="314" spans="1:13" ht="12" hidden="1" customHeight="1">
      <c r="A314" s="112">
        <f>A313+1</f>
        <v>420</v>
      </c>
      <c r="D314" s="117" t="s">
        <v>4335</v>
      </c>
      <c r="E314" s="117" t="str">
        <f>"10.10."&amp;A314&amp;".254"</f>
        <v>10.10.420.254</v>
      </c>
      <c r="F314" s="112" t="s">
        <v>3974</v>
      </c>
      <c r="G314" s="112" t="s">
        <v>3978</v>
      </c>
    </row>
    <row r="315" spans="1:13" ht="12" hidden="1" customHeight="1">
      <c r="A315" s="112">
        <v>420</v>
      </c>
      <c r="D315" s="117" t="s">
        <v>4336</v>
      </c>
      <c r="E315" s="117" t="str">
        <f>"10.11."&amp;A59&amp;".254"</f>
        <v>10.11.282.254</v>
      </c>
      <c r="F315" s="112" t="s">
        <v>3974</v>
      </c>
      <c r="G315" s="112" t="s">
        <v>3978</v>
      </c>
    </row>
    <row r="316" spans="1:13" ht="12" hidden="1" customHeight="1">
      <c r="A316" s="112">
        <f>A315+1</f>
        <v>421</v>
      </c>
      <c r="D316" s="117" t="s">
        <v>4337</v>
      </c>
      <c r="E316" s="117" t="str">
        <f>"10.10."&amp;A316&amp;".254"</f>
        <v>10.10.421.254</v>
      </c>
      <c r="F316" s="112" t="s">
        <v>3974</v>
      </c>
      <c r="G316" s="112" t="s">
        <v>3978</v>
      </c>
    </row>
    <row r="317" spans="1:13" ht="12" hidden="1" customHeight="1">
      <c r="A317" s="112">
        <v>421</v>
      </c>
      <c r="D317" s="117" t="s">
        <v>4338</v>
      </c>
      <c r="E317" s="117" t="str">
        <f>"10.11."&amp;A61&amp;".254"</f>
        <v>10.11.284.254</v>
      </c>
      <c r="F317" s="112" t="s">
        <v>3974</v>
      </c>
      <c r="G317" s="112" t="s">
        <v>3978</v>
      </c>
    </row>
    <row r="318" spans="1:13" ht="12" hidden="1" customHeight="1">
      <c r="A318" s="112">
        <f>A317+1</f>
        <v>422</v>
      </c>
      <c r="D318" s="117" t="s">
        <v>4339</v>
      </c>
      <c r="E318" s="117" t="str">
        <f>"10.10."&amp;A318&amp;".254"</f>
        <v>10.10.422.254</v>
      </c>
      <c r="F318" s="112" t="s">
        <v>3974</v>
      </c>
      <c r="G318" s="112" t="s">
        <v>3978</v>
      </c>
    </row>
    <row r="319" spans="1:13" ht="12" hidden="1" customHeight="1">
      <c r="A319" s="112">
        <v>422</v>
      </c>
      <c r="D319" s="117" t="s">
        <v>4340</v>
      </c>
      <c r="E319" s="117" t="str">
        <f>"10.11."&amp;A63&amp;".254"</f>
        <v>10.11.286.254</v>
      </c>
      <c r="F319" s="112" t="s">
        <v>3974</v>
      </c>
      <c r="G319" s="112" t="s">
        <v>3978</v>
      </c>
    </row>
    <row r="320" spans="1:13" ht="12" hidden="1" customHeight="1">
      <c r="A320" s="112">
        <f>A319+1</f>
        <v>423</v>
      </c>
      <c r="D320" s="117" t="s">
        <v>4341</v>
      </c>
      <c r="E320" s="117" t="str">
        <f>"10.10."&amp;A320&amp;".254"</f>
        <v>10.10.423.254</v>
      </c>
      <c r="F320" s="112" t="s">
        <v>3974</v>
      </c>
      <c r="G320" s="112" t="s">
        <v>3978</v>
      </c>
    </row>
    <row r="321" spans="1:13" ht="12" hidden="1" customHeight="1">
      <c r="A321" s="112">
        <v>423</v>
      </c>
      <c r="D321" s="117" t="s">
        <v>4342</v>
      </c>
      <c r="E321" s="117" t="str">
        <f>"10.11."&amp;A65&amp;".254"</f>
        <v>10.11.288.254</v>
      </c>
      <c r="F321" s="112" t="s">
        <v>3974</v>
      </c>
      <c r="G321" s="112" t="s">
        <v>3978</v>
      </c>
    </row>
    <row r="322" spans="1:13" ht="12" hidden="1" customHeight="1">
      <c r="A322" s="112">
        <f>A321+1</f>
        <v>424</v>
      </c>
      <c r="D322" s="117" t="s">
        <v>4343</v>
      </c>
      <c r="E322" s="117" t="str">
        <f>"10.10."&amp;A322&amp;".254"</f>
        <v>10.10.424.254</v>
      </c>
      <c r="F322" s="112" t="s">
        <v>3974</v>
      </c>
      <c r="G322" s="112" t="s">
        <v>3978</v>
      </c>
    </row>
    <row r="323" spans="1:13" ht="12" hidden="1" customHeight="1">
      <c r="A323" s="112">
        <v>424</v>
      </c>
      <c r="D323" s="117" t="s">
        <v>4344</v>
      </c>
      <c r="E323" s="117" t="str">
        <f>"10.11."&amp;A67&amp;".254"</f>
        <v>10.11.290.254</v>
      </c>
      <c r="F323" s="112" t="s">
        <v>3974</v>
      </c>
      <c r="G323" s="112" t="s">
        <v>3978</v>
      </c>
    </row>
    <row r="324" spans="1:13" ht="12" hidden="1" customHeight="1">
      <c r="A324" s="112">
        <f>A323+1</f>
        <v>425</v>
      </c>
      <c r="D324" s="117" t="s">
        <v>4345</v>
      </c>
      <c r="E324" s="117" t="str">
        <f>"10.10."&amp;A324&amp;".254"</f>
        <v>10.10.425.254</v>
      </c>
      <c r="F324" s="112" t="s">
        <v>3974</v>
      </c>
      <c r="G324" s="112" t="s">
        <v>3978</v>
      </c>
    </row>
    <row r="325" spans="1:13" ht="12" hidden="1" customHeight="1">
      <c r="A325" s="112">
        <v>425</v>
      </c>
      <c r="D325" s="117" t="s">
        <v>4346</v>
      </c>
      <c r="E325" s="117" t="str">
        <f>"10.11."&amp;A69&amp;".254"</f>
        <v>10.11.292.254</v>
      </c>
      <c r="F325" s="112" t="s">
        <v>3974</v>
      </c>
      <c r="G325" s="112" t="s">
        <v>3978</v>
      </c>
    </row>
    <row r="326" spans="1:13" ht="12" hidden="1" customHeight="1">
      <c r="A326" s="112">
        <f>A325+1</f>
        <v>426</v>
      </c>
      <c r="D326" s="117" t="s">
        <v>4347</v>
      </c>
      <c r="E326" s="117" t="str">
        <f>"10.10."&amp;A326&amp;".254"</f>
        <v>10.10.426.254</v>
      </c>
      <c r="F326" s="112" t="s">
        <v>3974</v>
      </c>
      <c r="G326" s="112" t="s">
        <v>3978</v>
      </c>
    </row>
    <row r="327" spans="1:13" ht="12" hidden="1" customHeight="1">
      <c r="A327" s="112">
        <v>426</v>
      </c>
      <c r="D327" s="117" t="s">
        <v>4348</v>
      </c>
      <c r="E327" s="117" t="str">
        <f>"10.11."&amp;A71&amp;".254"</f>
        <v>10.11.294.254</v>
      </c>
      <c r="F327" s="112" t="s">
        <v>3974</v>
      </c>
      <c r="G327" s="112" t="s">
        <v>3978</v>
      </c>
    </row>
    <row r="328" spans="1:13" ht="12" hidden="1" customHeight="1">
      <c r="A328" s="112">
        <f>A327+1</f>
        <v>427</v>
      </c>
      <c r="D328" s="117" t="s">
        <v>4349</v>
      </c>
      <c r="E328" s="117" t="str">
        <f>"10.10."&amp;A328&amp;".254"</f>
        <v>10.10.427.254</v>
      </c>
      <c r="F328" s="112" t="s">
        <v>3974</v>
      </c>
      <c r="G328" s="112" t="s">
        <v>3978</v>
      </c>
    </row>
    <row r="329" spans="1:13" ht="12" hidden="1" customHeight="1">
      <c r="A329" s="112">
        <v>427</v>
      </c>
      <c r="D329" s="117" t="s">
        <v>4350</v>
      </c>
      <c r="E329" s="117" t="str">
        <f>"10.11."&amp;A73&amp;".254"</f>
        <v>10.11.296.254</v>
      </c>
      <c r="F329" s="112" t="s">
        <v>3974</v>
      </c>
      <c r="G329" s="112" t="s">
        <v>3978</v>
      </c>
    </row>
    <row r="330" spans="1:13" ht="12" customHeight="1">
      <c r="A330" s="120">
        <v>8</v>
      </c>
      <c r="B330" s="121" t="s">
        <v>4351</v>
      </c>
      <c r="C330" s="120" t="s">
        <v>3971</v>
      </c>
      <c r="D330" s="121" t="s">
        <v>4352</v>
      </c>
      <c r="E330" s="117" t="s">
        <v>4353</v>
      </c>
      <c r="F330" s="112" t="s">
        <v>3974</v>
      </c>
      <c r="G330" s="120" t="s">
        <v>3978</v>
      </c>
      <c r="M330" s="117" t="str">
        <f>D330&amp;"-254"</f>
        <v>10.10.8.0-254</v>
      </c>
    </row>
    <row r="331" spans="1:13" ht="12" hidden="1" customHeight="1">
      <c r="A331" s="112">
        <v>428</v>
      </c>
      <c r="D331" s="117" t="s">
        <v>4354</v>
      </c>
      <c r="E331" s="117" t="str">
        <f>"10.11."&amp;A75&amp;".254"</f>
        <v>10.11.296.254</v>
      </c>
      <c r="F331" s="112" t="s">
        <v>3974</v>
      </c>
      <c r="G331" s="112" t="s">
        <v>3978</v>
      </c>
    </row>
    <row r="332" spans="1:13" ht="12" customHeight="1">
      <c r="A332" s="112">
        <f>A331+1</f>
        <v>429</v>
      </c>
      <c r="B332" s="117" t="s">
        <v>3982</v>
      </c>
      <c r="C332" s="112" t="s">
        <v>599</v>
      </c>
      <c r="D332" s="117" t="s">
        <v>4355</v>
      </c>
      <c r="E332" s="117" t="str">
        <f>"10.10."&amp;A332&amp;".254"</f>
        <v>10.10.429.254</v>
      </c>
      <c r="F332" s="112" t="s">
        <v>3974</v>
      </c>
      <c r="G332" s="112" t="s">
        <v>3978</v>
      </c>
      <c r="J332" s="112" t="s">
        <v>599</v>
      </c>
      <c r="M332" s="117" t="str">
        <f>D332&amp;"-254"</f>
        <v>10.10.80.0-254</v>
      </c>
    </row>
    <row r="333" spans="1:13" ht="12" hidden="1" customHeight="1">
      <c r="A333" s="112">
        <v>429</v>
      </c>
      <c r="D333" s="117" t="s">
        <v>4356</v>
      </c>
      <c r="E333" s="117" t="str">
        <f>"10.11."&amp;A77&amp;".254"</f>
        <v>10.11.297.254</v>
      </c>
      <c r="F333" s="112" t="s">
        <v>3974</v>
      </c>
      <c r="G333" s="112" t="s">
        <v>3978</v>
      </c>
    </row>
    <row r="334" spans="1:13" ht="12" customHeight="1">
      <c r="A334" s="112">
        <f>A333+1</f>
        <v>430</v>
      </c>
      <c r="B334" s="117" t="s">
        <v>3982</v>
      </c>
      <c r="C334" s="112" t="s">
        <v>602</v>
      </c>
      <c r="D334" s="117" t="s">
        <v>4357</v>
      </c>
      <c r="E334" s="117" t="str">
        <f>"10.10."&amp;A334&amp;".254"</f>
        <v>10.10.430.254</v>
      </c>
      <c r="F334" s="112" t="s">
        <v>3974</v>
      </c>
      <c r="G334" s="112" t="s">
        <v>3978</v>
      </c>
      <c r="I334" s="112" t="s">
        <v>602</v>
      </c>
      <c r="M334" s="117" t="str">
        <f>D334&amp;"-254"</f>
        <v>10.10.81.0-254</v>
      </c>
    </row>
    <row r="335" spans="1:13" ht="12" hidden="1" customHeight="1">
      <c r="A335" s="112">
        <v>430</v>
      </c>
      <c r="D335" s="117" t="s">
        <v>4358</v>
      </c>
      <c r="E335" s="117" t="str">
        <f>"10.11."&amp;A79&amp;".254"</f>
        <v>10.11.298.254</v>
      </c>
      <c r="F335" s="112" t="s">
        <v>3974</v>
      </c>
      <c r="G335" s="112" t="s">
        <v>3978</v>
      </c>
    </row>
    <row r="336" spans="1:13" ht="12" customHeight="1">
      <c r="A336" s="112">
        <f>A335+1</f>
        <v>431</v>
      </c>
      <c r="B336" s="117" t="s">
        <v>3982</v>
      </c>
      <c r="C336" s="112" t="s">
        <v>602</v>
      </c>
      <c r="D336" s="117" t="s">
        <v>4359</v>
      </c>
      <c r="E336" s="117" t="str">
        <f>"10.10."&amp;A336&amp;".254"</f>
        <v>10.10.431.254</v>
      </c>
      <c r="F336" s="112" t="s">
        <v>3974</v>
      </c>
      <c r="G336" s="112" t="s">
        <v>3978</v>
      </c>
      <c r="J336" s="112" t="s">
        <v>602</v>
      </c>
      <c r="M336" s="117" t="str">
        <f>D336&amp;"-254"</f>
        <v>10.10.82.0-254</v>
      </c>
    </row>
    <row r="337" spans="1:13" ht="12" hidden="1" customHeight="1">
      <c r="A337" s="112">
        <v>431</v>
      </c>
      <c r="D337" s="117" t="s">
        <v>4360</v>
      </c>
      <c r="E337" s="117" t="str">
        <f>"10.11."&amp;A81&amp;".254"</f>
        <v>10.11.299.254</v>
      </c>
      <c r="F337" s="112" t="s">
        <v>3974</v>
      </c>
      <c r="G337" s="112" t="s">
        <v>3978</v>
      </c>
    </row>
    <row r="338" spans="1:13" ht="12" customHeight="1">
      <c r="A338" s="112">
        <f>A337+1</f>
        <v>432</v>
      </c>
      <c r="B338" s="117" t="s">
        <v>3982</v>
      </c>
      <c r="C338" s="112" t="s">
        <v>605</v>
      </c>
      <c r="D338" s="117" t="s">
        <v>4361</v>
      </c>
      <c r="E338" s="117" t="str">
        <f>"10.10."&amp;A338&amp;".254"</f>
        <v>10.10.432.254</v>
      </c>
      <c r="F338" s="112" t="s">
        <v>3974</v>
      </c>
      <c r="G338" s="112" t="s">
        <v>3978</v>
      </c>
      <c r="H338" s="112" t="s">
        <v>605</v>
      </c>
      <c r="M338" s="117" t="str">
        <f>D338&amp;"-254"</f>
        <v>10.10.83.0-254</v>
      </c>
    </row>
    <row r="339" spans="1:13" ht="12" hidden="1" customHeight="1">
      <c r="A339" s="112">
        <v>432</v>
      </c>
      <c r="D339" s="117" t="s">
        <v>4362</v>
      </c>
      <c r="E339" s="117" t="str">
        <f>"10.11."&amp;A83&amp;".254"</f>
        <v>10.11.300.254</v>
      </c>
      <c r="F339" s="112" t="s">
        <v>3974</v>
      </c>
      <c r="G339" s="112" t="s">
        <v>3978</v>
      </c>
    </row>
    <row r="340" spans="1:13" ht="12" hidden="1" customHeight="1">
      <c r="A340" s="112">
        <f>A339+1</f>
        <v>433</v>
      </c>
      <c r="D340" s="117" t="s">
        <v>4363</v>
      </c>
      <c r="E340" s="117" t="str">
        <f>"10.10."&amp;A340&amp;".254"</f>
        <v>10.10.433.254</v>
      </c>
      <c r="F340" s="112" t="s">
        <v>3974</v>
      </c>
      <c r="G340" s="112" t="s">
        <v>3978</v>
      </c>
    </row>
    <row r="341" spans="1:13" ht="12" hidden="1" customHeight="1">
      <c r="A341" s="112">
        <v>433</v>
      </c>
      <c r="D341" s="117" t="s">
        <v>4364</v>
      </c>
      <c r="E341" s="117" t="str">
        <f>"10.11."&amp;A85&amp;".254"</f>
        <v>10.11.301.254</v>
      </c>
      <c r="F341" s="112" t="s">
        <v>3974</v>
      </c>
      <c r="G341" s="112" t="s">
        <v>3978</v>
      </c>
    </row>
    <row r="342" spans="1:13" ht="12" hidden="1" customHeight="1">
      <c r="A342" s="112">
        <f>A341+1</f>
        <v>434</v>
      </c>
      <c r="D342" s="117" t="s">
        <v>4365</v>
      </c>
      <c r="E342" s="117" t="str">
        <f>"10.10."&amp;A342&amp;".254"</f>
        <v>10.10.434.254</v>
      </c>
      <c r="F342" s="112" t="s">
        <v>3974</v>
      </c>
      <c r="G342" s="112" t="s">
        <v>3978</v>
      </c>
    </row>
    <row r="343" spans="1:13" ht="12" hidden="1" customHeight="1">
      <c r="A343" s="112">
        <v>434</v>
      </c>
      <c r="D343" s="117" t="s">
        <v>4366</v>
      </c>
      <c r="E343" s="117" t="str">
        <f>"10.11."&amp;A87&amp;".254"</f>
        <v>10.11.302.254</v>
      </c>
      <c r="F343" s="112" t="s">
        <v>3974</v>
      </c>
      <c r="G343" s="112" t="s">
        <v>3978</v>
      </c>
    </row>
    <row r="344" spans="1:13" ht="12" customHeight="1">
      <c r="A344" s="112">
        <f>A343+1</f>
        <v>435</v>
      </c>
      <c r="B344" s="117" t="s">
        <v>3982</v>
      </c>
      <c r="C344" s="112" t="s">
        <v>605</v>
      </c>
      <c r="D344" s="117" t="s">
        <v>4367</v>
      </c>
      <c r="E344" s="117" t="str">
        <f>"10.10."&amp;A344&amp;".254"</f>
        <v>10.10.435.254</v>
      </c>
      <c r="F344" s="112" t="s">
        <v>3974</v>
      </c>
      <c r="G344" s="112" t="s">
        <v>3978</v>
      </c>
      <c r="I344" s="112" t="s">
        <v>605</v>
      </c>
      <c r="M344" s="117" t="str">
        <f>D344&amp;"-254"</f>
        <v>10.10.84.0-254</v>
      </c>
    </row>
    <row r="345" spans="1:13" ht="12" hidden="1" customHeight="1">
      <c r="A345" s="112">
        <v>435</v>
      </c>
      <c r="D345" s="117" t="s">
        <v>4368</v>
      </c>
      <c r="E345" s="117" t="str">
        <f>"10.11."&amp;A89&amp;".254"</f>
        <v>10.11.303.254</v>
      </c>
      <c r="F345" s="112" t="s">
        <v>3974</v>
      </c>
      <c r="G345" s="112" t="s">
        <v>3978</v>
      </c>
    </row>
    <row r="346" spans="1:13" ht="12" customHeight="1">
      <c r="A346" s="112">
        <f>A345+1</f>
        <v>436</v>
      </c>
      <c r="B346" s="117" t="s">
        <v>3982</v>
      </c>
      <c r="C346" s="112" t="s">
        <v>4369</v>
      </c>
      <c r="D346" s="117" t="s">
        <v>4370</v>
      </c>
      <c r="E346" s="117" t="str">
        <f>"10.10."&amp;A346&amp;".254"</f>
        <v>10.10.436.254</v>
      </c>
      <c r="F346" s="112" t="s">
        <v>3974</v>
      </c>
      <c r="G346" s="112" t="s">
        <v>3978</v>
      </c>
      <c r="H346" s="112" t="s">
        <v>602</v>
      </c>
      <c r="J346" s="112" t="s">
        <v>605</v>
      </c>
      <c r="M346" s="117" t="str">
        <f>D346&amp;"-254"</f>
        <v>10.10.85.0-254</v>
      </c>
    </row>
    <row r="347" spans="1:13" ht="12" hidden="1" customHeight="1">
      <c r="A347" s="112">
        <v>436</v>
      </c>
      <c r="D347" s="117" t="s">
        <v>4371</v>
      </c>
      <c r="E347" s="117" t="str">
        <f>"10.11."&amp;A91&amp;".254"</f>
        <v>10.11.304.254</v>
      </c>
      <c r="F347" s="112" t="s">
        <v>3974</v>
      </c>
      <c r="G347" s="112" t="s">
        <v>3978</v>
      </c>
    </row>
    <row r="348" spans="1:13" ht="12" customHeight="1">
      <c r="A348" s="112">
        <f>A347+1</f>
        <v>437</v>
      </c>
      <c r="B348" s="117" t="s">
        <v>3982</v>
      </c>
      <c r="C348" s="112" t="s">
        <v>587</v>
      </c>
      <c r="D348" s="117" t="s">
        <v>4372</v>
      </c>
      <c r="E348" s="117" t="str">
        <f>"10.10."&amp;A348&amp;".254"</f>
        <v>10.10.437.254</v>
      </c>
      <c r="F348" s="112" t="s">
        <v>3974</v>
      </c>
      <c r="G348" s="112" t="s">
        <v>3978</v>
      </c>
      <c r="H348" s="112" t="s">
        <v>587</v>
      </c>
      <c r="M348" s="117" t="str">
        <f>D348&amp;"-254"</f>
        <v>10.10.93.0-254</v>
      </c>
    </row>
    <row r="349" spans="1:13" ht="12" hidden="1" customHeight="1">
      <c r="A349" s="112">
        <v>437</v>
      </c>
      <c r="D349" s="117" t="s">
        <v>4373</v>
      </c>
      <c r="E349" s="117" t="str">
        <f>"10.11."&amp;A93&amp;".254"</f>
        <v>10.11.305.254</v>
      </c>
      <c r="F349" s="112" t="s">
        <v>3974</v>
      </c>
      <c r="G349" s="112" t="s">
        <v>3978</v>
      </c>
    </row>
    <row r="350" spans="1:13" ht="12" customHeight="1">
      <c r="A350" s="112">
        <f>A349+1</f>
        <v>438</v>
      </c>
      <c r="B350" s="117" t="s">
        <v>3976</v>
      </c>
      <c r="C350" s="112" t="s">
        <v>563</v>
      </c>
      <c r="D350" s="117" t="s">
        <v>4374</v>
      </c>
      <c r="E350" s="117" t="str">
        <f>"10.10."&amp;A350&amp;".254"</f>
        <v>10.10.438.254</v>
      </c>
      <c r="F350" s="112" t="s">
        <v>3974</v>
      </c>
      <c r="G350" s="112" t="s">
        <v>3978</v>
      </c>
      <c r="H350" s="112" t="s">
        <v>563</v>
      </c>
      <c r="M350" s="117" t="str">
        <f>D350&amp;"-254"</f>
        <v>10.10.94.0-254</v>
      </c>
    </row>
    <row r="351" spans="1:13" ht="12" hidden="1" customHeight="1">
      <c r="A351" s="112">
        <v>438</v>
      </c>
      <c r="D351" s="117" t="s">
        <v>4375</v>
      </c>
      <c r="E351" s="117" t="str">
        <f>"10.11."&amp;A95&amp;".254"</f>
        <v>10.11.306.254</v>
      </c>
      <c r="F351" s="112" t="s">
        <v>3974</v>
      </c>
      <c r="G351" s="112" t="s">
        <v>3978</v>
      </c>
    </row>
    <row r="352" spans="1:13" ht="12" customHeight="1">
      <c r="A352" s="112">
        <f>A351+1</f>
        <v>439</v>
      </c>
      <c r="B352" s="117" t="s">
        <v>3976</v>
      </c>
      <c r="C352" s="112" t="s">
        <v>563</v>
      </c>
      <c r="D352" s="117" t="s">
        <v>4376</v>
      </c>
      <c r="E352" s="117" t="str">
        <f>"10.10."&amp;A352&amp;".254"</f>
        <v>10.10.439.254</v>
      </c>
      <c r="F352" s="112" t="s">
        <v>3974</v>
      </c>
      <c r="G352" s="112" t="s">
        <v>3978</v>
      </c>
      <c r="I352" s="112" t="s">
        <v>563</v>
      </c>
      <c r="M352" s="117" t="str">
        <f>D352&amp;"-254"</f>
        <v>10.10.95.0-254</v>
      </c>
    </row>
    <row r="353" spans="1:13" ht="12" hidden="1" customHeight="1">
      <c r="A353" s="112">
        <v>439</v>
      </c>
      <c r="D353" s="117" t="s">
        <v>4377</v>
      </c>
      <c r="E353" s="117" t="str">
        <f>"10.11."&amp;A97&amp;".254"</f>
        <v>10.11.307.254</v>
      </c>
      <c r="F353" s="112" t="s">
        <v>3974</v>
      </c>
      <c r="G353" s="112" t="s">
        <v>3978</v>
      </c>
    </row>
    <row r="354" spans="1:13" ht="12" customHeight="1">
      <c r="A354" s="112">
        <f>A353+1</f>
        <v>440</v>
      </c>
      <c r="B354" s="117" t="s">
        <v>3976</v>
      </c>
      <c r="C354" s="112" t="s">
        <v>563</v>
      </c>
      <c r="D354" s="117" t="s">
        <v>4378</v>
      </c>
      <c r="E354" s="117" t="str">
        <f>"10.10."&amp;A354&amp;".254"</f>
        <v>10.10.440.254</v>
      </c>
      <c r="F354" s="112" t="s">
        <v>3974</v>
      </c>
      <c r="G354" s="112" t="s">
        <v>3978</v>
      </c>
      <c r="J354" s="112" t="s">
        <v>563</v>
      </c>
      <c r="M354" s="117" t="str">
        <f>D354&amp;"-254"</f>
        <v>10.10.96.0-254</v>
      </c>
    </row>
    <row r="355" spans="1:13" ht="12" hidden="1" customHeight="1">
      <c r="A355" s="112">
        <v>440</v>
      </c>
      <c r="D355" s="117" t="s">
        <v>4379</v>
      </c>
      <c r="E355" s="117" t="str">
        <f>"10.11."&amp;A99&amp;".254"</f>
        <v>10.11.308.254</v>
      </c>
      <c r="F355" s="112" t="s">
        <v>3974</v>
      </c>
      <c r="G355" s="112" t="s">
        <v>3978</v>
      </c>
    </row>
    <row r="356" spans="1:13" ht="12" customHeight="1">
      <c r="A356" s="112">
        <f>A355+1</f>
        <v>441</v>
      </c>
      <c r="B356" s="117" t="s">
        <v>3982</v>
      </c>
      <c r="C356" s="112" t="s">
        <v>567</v>
      </c>
      <c r="D356" s="117" t="s">
        <v>4380</v>
      </c>
      <c r="E356" s="117" t="str">
        <f>"10.10."&amp;A356&amp;".254"</f>
        <v>10.10.441.254</v>
      </c>
      <c r="F356" s="112" t="s">
        <v>3974</v>
      </c>
      <c r="G356" s="112" t="s">
        <v>3978</v>
      </c>
      <c r="H356" s="112" t="s">
        <v>567</v>
      </c>
      <c r="M356" s="117" t="str">
        <f>D356&amp;"-254"</f>
        <v>10.10.97.0-254</v>
      </c>
    </row>
    <row r="357" spans="1:13" ht="12" hidden="1" customHeight="1">
      <c r="A357" s="112">
        <v>441</v>
      </c>
      <c r="D357" s="117" t="s">
        <v>4381</v>
      </c>
      <c r="E357" s="117" t="str">
        <f>"10.11."&amp;A101&amp;".254"</f>
        <v>10.11.309.254</v>
      </c>
      <c r="F357" s="112" t="s">
        <v>3974</v>
      </c>
      <c r="G357" s="112" t="s">
        <v>3978</v>
      </c>
    </row>
    <row r="358" spans="1:13" ht="12" customHeight="1">
      <c r="A358" s="112">
        <f>A357+1</f>
        <v>442</v>
      </c>
      <c r="B358" s="117" t="s">
        <v>3982</v>
      </c>
      <c r="C358" s="112" t="s">
        <v>567</v>
      </c>
      <c r="D358" s="117" t="s">
        <v>4382</v>
      </c>
      <c r="E358" s="117" t="str">
        <f>"10.10."&amp;A358&amp;".254"</f>
        <v>10.10.442.254</v>
      </c>
      <c r="F358" s="112" t="s">
        <v>3974</v>
      </c>
      <c r="G358" s="112" t="s">
        <v>3978</v>
      </c>
      <c r="I358" s="112" t="s">
        <v>567</v>
      </c>
      <c r="M358" s="117" t="str">
        <f>D358&amp;"-254"</f>
        <v>10.10.98.0-254</v>
      </c>
    </row>
    <row r="359" spans="1:13" ht="12" hidden="1" customHeight="1">
      <c r="A359" s="112">
        <v>442</v>
      </c>
      <c r="D359" s="117" t="s">
        <v>4383</v>
      </c>
      <c r="E359" s="117" t="str">
        <f>"10.11."&amp;A103&amp;".254"</f>
        <v>10.11.310.254</v>
      </c>
      <c r="F359" s="112" t="s">
        <v>3974</v>
      </c>
      <c r="G359" s="112" t="s">
        <v>3978</v>
      </c>
    </row>
    <row r="360" spans="1:13" ht="12" customHeight="1">
      <c r="A360" s="112">
        <f>A359+1</f>
        <v>443</v>
      </c>
      <c r="B360" s="117" t="s">
        <v>3976</v>
      </c>
      <c r="C360" s="112" t="s">
        <v>572</v>
      </c>
      <c r="D360" s="117" t="s">
        <v>4384</v>
      </c>
      <c r="E360" s="117" t="str">
        <f>"10.10."&amp;A360&amp;".254"</f>
        <v>10.10.443.254</v>
      </c>
      <c r="F360" s="112" t="s">
        <v>3974</v>
      </c>
      <c r="G360" s="112" t="s">
        <v>3978</v>
      </c>
      <c r="H360" s="112" t="s">
        <v>572</v>
      </c>
      <c r="M360" s="117" t="str">
        <f>D360&amp;"-254"</f>
        <v>10.10.99.0-254</v>
      </c>
    </row>
    <row r="361" spans="1:13" ht="12" hidden="1" customHeight="1">
      <c r="A361" s="112">
        <v>443</v>
      </c>
      <c r="D361" s="117" t="s">
        <v>4385</v>
      </c>
      <c r="E361" s="117" t="str">
        <f>"10.11."&amp;A105&amp;".254"</f>
        <v>10.11.311.254</v>
      </c>
      <c r="F361" s="112" t="s">
        <v>3974</v>
      </c>
      <c r="G361" s="112" t="s">
        <v>3978</v>
      </c>
    </row>
    <row r="362" spans="1:13" ht="12" customHeight="1">
      <c r="A362" s="112">
        <v>367</v>
      </c>
      <c r="B362" s="123" t="s">
        <v>3976</v>
      </c>
      <c r="C362" s="112" t="s">
        <v>559</v>
      </c>
      <c r="D362" s="117" t="s">
        <v>4386</v>
      </c>
      <c r="E362" s="117" t="e">
        <f>"10.11."&amp;#REF!&amp;".254"</f>
        <v>#REF!</v>
      </c>
      <c r="F362" s="112" t="s">
        <v>3974</v>
      </c>
      <c r="G362" s="112" t="s">
        <v>3978</v>
      </c>
      <c r="J362" s="112" t="s">
        <v>559</v>
      </c>
      <c r="M362" s="117" t="str">
        <f>D362&amp;"-254"</f>
        <v>10.11.111.0-254</v>
      </c>
    </row>
    <row r="363" spans="1:13" ht="12" hidden="1" customHeight="1">
      <c r="A363" s="112">
        <v>444</v>
      </c>
      <c r="B363" s="123"/>
      <c r="D363" s="117" t="s">
        <v>4387</v>
      </c>
      <c r="E363" s="117" t="str">
        <f>"10.11."&amp;A107&amp;".254"</f>
        <v>10.11.312.254</v>
      </c>
      <c r="F363" s="112" t="s">
        <v>3974</v>
      </c>
      <c r="G363" s="112" t="s">
        <v>3978</v>
      </c>
    </row>
    <row r="364" spans="1:13" ht="12" customHeight="1">
      <c r="A364" s="112">
        <v>368</v>
      </c>
      <c r="B364" s="123" t="s">
        <v>3982</v>
      </c>
      <c r="C364" s="112" t="s">
        <v>428</v>
      </c>
      <c r="D364" s="117" t="s">
        <v>4388</v>
      </c>
      <c r="E364" s="117" t="e">
        <f>"10.11."&amp;#REF!&amp;".254"</f>
        <v>#REF!</v>
      </c>
      <c r="F364" s="112" t="s">
        <v>3974</v>
      </c>
      <c r="G364" s="112" t="s">
        <v>3978</v>
      </c>
      <c r="H364" s="112" t="s">
        <v>428</v>
      </c>
      <c r="M364" s="117" t="str">
        <f>D364&amp;"-254"</f>
        <v>10.11.112.0-254</v>
      </c>
    </row>
    <row r="365" spans="1:13" ht="12" hidden="1" customHeight="1">
      <c r="A365" s="112">
        <v>445</v>
      </c>
      <c r="B365" s="123"/>
      <c r="D365" s="117" t="s">
        <v>4389</v>
      </c>
      <c r="E365" s="117" t="str">
        <f>"10.11."&amp;A109&amp;".254"</f>
        <v>10.11.313.254</v>
      </c>
      <c r="F365" s="112" t="s">
        <v>3974</v>
      </c>
      <c r="G365" s="112" t="s">
        <v>3978</v>
      </c>
    </row>
    <row r="366" spans="1:13" ht="12" hidden="1" customHeight="1">
      <c r="A366" s="112">
        <f>A365+1</f>
        <v>446</v>
      </c>
      <c r="D366" s="117" t="s">
        <v>4390</v>
      </c>
      <c r="E366" s="117" t="str">
        <f>"10.10."&amp;A366&amp;".254"</f>
        <v>10.10.446.254</v>
      </c>
      <c r="F366" s="112" t="s">
        <v>3974</v>
      </c>
      <c r="G366" s="112" t="s">
        <v>3978</v>
      </c>
    </row>
    <row r="367" spans="1:13" ht="12" hidden="1" customHeight="1">
      <c r="A367" s="112">
        <v>446</v>
      </c>
      <c r="D367" s="117" t="s">
        <v>4391</v>
      </c>
      <c r="E367" s="117" t="str">
        <f>"10.11."&amp;A111&amp;".254"</f>
        <v>10.11.314.254</v>
      </c>
      <c r="F367" s="112" t="s">
        <v>3974</v>
      </c>
      <c r="G367" s="112" t="s">
        <v>3978</v>
      </c>
    </row>
    <row r="368" spans="1:13" ht="12" hidden="1" customHeight="1">
      <c r="A368" s="112">
        <f>A367+1</f>
        <v>447</v>
      </c>
      <c r="D368" s="117" t="s">
        <v>4392</v>
      </c>
      <c r="E368" s="117" t="str">
        <f>"10.10."&amp;A368&amp;".254"</f>
        <v>10.10.447.254</v>
      </c>
      <c r="F368" s="112" t="s">
        <v>3974</v>
      </c>
      <c r="G368" s="112" t="s">
        <v>3978</v>
      </c>
    </row>
    <row r="369" spans="1:13" ht="12" hidden="1" customHeight="1">
      <c r="A369" s="112">
        <v>447</v>
      </c>
      <c r="D369" s="117" t="s">
        <v>4393</v>
      </c>
      <c r="E369" s="117" t="str">
        <f>"10.11."&amp;A113&amp;".254"</f>
        <v>10.11.315.254</v>
      </c>
      <c r="F369" s="112" t="s">
        <v>3974</v>
      </c>
      <c r="G369" s="112" t="s">
        <v>3978</v>
      </c>
    </row>
    <row r="370" spans="1:13" ht="12" hidden="1" customHeight="1">
      <c r="A370" s="112">
        <f>A369+1</f>
        <v>448</v>
      </c>
      <c r="D370" s="117" t="s">
        <v>4394</v>
      </c>
      <c r="E370" s="117" t="str">
        <f>"10.10."&amp;A370&amp;".254"</f>
        <v>10.10.448.254</v>
      </c>
      <c r="F370" s="112" t="s">
        <v>3974</v>
      </c>
      <c r="G370" s="112" t="s">
        <v>3978</v>
      </c>
    </row>
    <row r="371" spans="1:13" ht="12" hidden="1" customHeight="1">
      <c r="A371" s="112">
        <v>448</v>
      </c>
      <c r="D371" s="117" t="s">
        <v>4395</v>
      </c>
      <c r="E371" s="117" t="str">
        <f>"10.11."&amp;A115&amp;".254"</f>
        <v>10.11.316.254</v>
      </c>
      <c r="F371" s="112" t="s">
        <v>3974</v>
      </c>
      <c r="G371" s="112" t="s">
        <v>3978</v>
      </c>
    </row>
    <row r="372" spans="1:13" ht="12" hidden="1" customHeight="1">
      <c r="A372" s="112">
        <f>A371+1</f>
        <v>449</v>
      </c>
      <c r="D372" s="117" t="s">
        <v>4396</v>
      </c>
      <c r="E372" s="117" t="str">
        <f>"10.10."&amp;A372&amp;".254"</f>
        <v>10.10.449.254</v>
      </c>
      <c r="F372" s="112" t="s">
        <v>3974</v>
      </c>
      <c r="G372" s="112" t="s">
        <v>3978</v>
      </c>
    </row>
    <row r="373" spans="1:13" ht="12" hidden="1" customHeight="1">
      <c r="A373" s="112">
        <v>449</v>
      </c>
      <c r="D373" s="117" t="s">
        <v>4397</v>
      </c>
      <c r="E373" s="117" t="str">
        <f>"10.11."&amp;A117&amp;".254"</f>
        <v>10.11.317.254</v>
      </c>
      <c r="F373" s="112" t="s">
        <v>3974</v>
      </c>
      <c r="G373" s="112" t="s">
        <v>3978</v>
      </c>
    </row>
    <row r="374" spans="1:13" ht="12" hidden="1" customHeight="1">
      <c r="A374" s="112">
        <f>A373+1</f>
        <v>450</v>
      </c>
      <c r="D374" s="117" t="s">
        <v>4398</v>
      </c>
      <c r="E374" s="117" t="str">
        <f>"10.10."&amp;A374&amp;".254"</f>
        <v>10.10.450.254</v>
      </c>
      <c r="F374" s="112" t="s">
        <v>3974</v>
      </c>
      <c r="G374" s="112" t="s">
        <v>3978</v>
      </c>
    </row>
    <row r="375" spans="1:13" ht="12" hidden="1" customHeight="1">
      <c r="A375" s="112">
        <v>450</v>
      </c>
      <c r="D375" s="117" t="s">
        <v>4399</v>
      </c>
      <c r="E375" s="117" t="str">
        <f>"10.11."&amp;A119&amp;".254"</f>
        <v>10.11.318.254</v>
      </c>
      <c r="F375" s="112" t="s">
        <v>3974</v>
      </c>
      <c r="G375" s="112" t="s">
        <v>3978</v>
      </c>
    </row>
    <row r="376" spans="1:13" ht="12" customHeight="1">
      <c r="A376" s="112">
        <v>369</v>
      </c>
      <c r="B376" s="117" t="s">
        <v>3982</v>
      </c>
      <c r="C376" s="112" t="s">
        <v>428</v>
      </c>
      <c r="D376" s="117" t="s">
        <v>4400</v>
      </c>
      <c r="E376" s="117" t="e">
        <f>"10.11."&amp;#REF!&amp;".254"</f>
        <v>#REF!</v>
      </c>
      <c r="F376" s="112" t="s">
        <v>3974</v>
      </c>
      <c r="G376" s="112" t="s">
        <v>3978</v>
      </c>
      <c r="I376" s="112" t="s">
        <v>428</v>
      </c>
      <c r="M376" s="117" t="str">
        <f>D376&amp;"-254"</f>
        <v>10.11.113.0-254</v>
      </c>
    </row>
    <row r="377" spans="1:13" ht="12" hidden="1" customHeight="1">
      <c r="A377" s="112">
        <v>451</v>
      </c>
      <c r="D377" s="117" t="s">
        <v>4401</v>
      </c>
      <c r="E377" s="117" t="str">
        <f>"10.11."&amp;A121&amp;".254"</f>
        <v>10.11.319.254</v>
      </c>
      <c r="F377" s="112" t="s">
        <v>3974</v>
      </c>
      <c r="G377" s="112" t="s">
        <v>3978</v>
      </c>
    </row>
    <row r="378" spans="1:13" ht="12" customHeight="1">
      <c r="A378" s="112">
        <v>370</v>
      </c>
      <c r="B378" s="117" t="s">
        <v>3982</v>
      </c>
      <c r="C378" s="112" t="s">
        <v>428</v>
      </c>
      <c r="D378" s="117" t="s">
        <v>4402</v>
      </c>
      <c r="E378" s="117" t="e">
        <f>"10.11."&amp;#REF!&amp;".254"</f>
        <v>#REF!</v>
      </c>
      <c r="F378" s="112" t="s">
        <v>3974</v>
      </c>
      <c r="G378" s="112" t="s">
        <v>3978</v>
      </c>
      <c r="J378" s="112" t="s">
        <v>428</v>
      </c>
      <c r="M378" s="117" t="str">
        <f>D378&amp;"-254"</f>
        <v>10.11.114.0-254</v>
      </c>
    </row>
    <row r="379" spans="1:13" ht="12" hidden="1" customHeight="1">
      <c r="A379" s="112">
        <v>452</v>
      </c>
      <c r="D379" s="117" t="s">
        <v>4403</v>
      </c>
      <c r="E379" s="117" t="str">
        <f>"10.11."&amp;A123&amp;".254"</f>
        <v>10.11.321.254</v>
      </c>
      <c r="F379" s="112" t="s">
        <v>3974</v>
      </c>
      <c r="G379" s="112" t="s">
        <v>3978</v>
      </c>
    </row>
    <row r="380" spans="1:13" ht="12" customHeight="1">
      <c r="A380" s="112">
        <v>372</v>
      </c>
      <c r="B380" s="117" t="s">
        <v>3982</v>
      </c>
      <c r="C380" s="112" t="s">
        <v>476</v>
      </c>
      <c r="D380" s="117" t="s">
        <v>4404</v>
      </c>
      <c r="E380" s="117" t="e">
        <f>"10.11."&amp;#REF!&amp;".254"</f>
        <v>#REF!</v>
      </c>
      <c r="F380" s="112" t="s">
        <v>3974</v>
      </c>
      <c r="G380" s="112" t="s">
        <v>3978</v>
      </c>
      <c r="H380" s="112" t="s">
        <v>476</v>
      </c>
      <c r="M380" s="117" t="str">
        <f>D380&amp;"-254"</f>
        <v>10.11.116.0-254</v>
      </c>
    </row>
    <row r="381" spans="1:13" ht="12" hidden="1" customHeight="1">
      <c r="A381" s="112">
        <v>453</v>
      </c>
      <c r="D381" s="117" t="s">
        <v>4405</v>
      </c>
      <c r="E381" s="117" t="str">
        <f>"10.11."&amp;A125&amp;".254"</f>
        <v>10.11.323.254</v>
      </c>
      <c r="F381" s="112" t="s">
        <v>3974</v>
      </c>
      <c r="G381" s="112" t="s">
        <v>3978</v>
      </c>
    </row>
    <row r="382" spans="1:13" ht="12" customHeight="1">
      <c r="A382" s="112">
        <v>373</v>
      </c>
      <c r="B382" s="117" t="s">
        <v>3982</v>
      </c>
      <c r="C382" s="112" t="s">
        <v>476</v>
      </c>
      <c r="D382" s="117" t="s">
        <v>4406</v>
      </c>
      <c r="E382" s="117" t="e">
        <f>"10.11."&amp;#REF!&amp;".254"</f>
        <v>#REF!</v>
      </c>
      <c r="F382" s="112" t="s">
        <v>3974</v>
      </c>
      <c r="G382" s="112" t="s">
        <v>3978</v>
      </c>
      <c r="I382" s="112" t="s">
        <v>476</v>
      </c>
      <c r="M382" s="117" t="str">
        <f>D382&amp;"-254"</f>
        <v>10.11.117.0-254</v>
      </c>
    </row>
    <row r="383" spans="1:13" ht="12" hidden="1" customHeight="1">
      <c r="A383" s="112">
        <v>454</v>
      </c>
      <c r="D383" s="117" t="s">
        <v>4407</v>
      </c>
      <c r="E383" s="117" t="str">
        <f>"10.11."&amp;A127&amp;".254"</f>
        <v>10.11.325.254</v>
      </c>
      <c r="F383" s="112" t="s">
        <v>3974</v>
      </c>
      <c r="G383" s="112" t="s">
        <v>3978</v>
      </c>
    </row>
    <row r="384" spans="1:13" ht="12" customHeight="1">
      <c r="A384" s="112">
        <v>374</v>
      </c>
      <c r="B384" s="117" t="s">
        <v>3982</v>
      </c>
      <c r="C384" s="112" t="s">
        <v>476</v>
      </c>
      <c r="D384" s="117" t="s">
        <v>4408</v>
      </c>
      <c r="E384" s="117" t="e">
        <f>"10.11."&amp;#REF!&amp;".254"</f>
        <v>#REF!</v>
      </c>
      <c r="F384" s="112" t="s">
        <v>3974</v>
      </c>
      <c r="G384" s="112" t="s">
        <v>3978</v>
      </c>
      <c r="J384" s="112" t="s">
        <v>476</v>
      </c>
      <c r="M384" s="117" t="str">
        <f>D384&amp;"-254"</f>
        <v>10.11.118.0-254</v>
      </c>
    </row>
    <row r="385" spans="1:13" ht="12" hidden="1" customHeight="1">
      <c r="A385" s="112">
        <v>455</v>
      </c>
      <c r="D385" s="117" t="s">
        <v>4409</v>
      </c>
      <c r="E385" s="117" t="str">
        <f>"10.11."&amp;A129&amp;".254"</f>
        <v>10.11.327.254</v>
      </c>
      <c r="F385" s="112" t="s">
        <v>3974</v>
      </c>
      <c r="G385" s="112" t="s">
        <v>3978</v>
      </c>
    </row>
    <row r="386" spans="1:13" ht="12" customHeight="1">
      <c r="A386" s="112">
        <v>378</v>
      </c>
      <c r="B386" s="117" t="s">
        <v>3982</v>
      </c>
      <c r="C386" s="112" t="s">
        <v>509</v>
      </c>
      <c r="D386" s="117" t="s">
        <v>4410</v>
      </c>
      <c r="E386" s="117" t="e">
        <f>"10.11."&amp;#REF!&amp;".254"</f>
        <v>#REF!</v>
      </c>
      <c r="F386" s="112" t="s">
        <v>3974</v>
      </c>
      <c r="G386" s="112" t="s">
        <v>3978</v>
      </c>
      <c r="H386" s="112" t="s">
        <v>509</v>
      </c>
      <c r="M386" s="117" t="str">
        <f>D386&amp;"-254"</f>
        <v>10.11.122.0-254</v>
      </c>
    </row>
    <row r="387" spans="1:13" ht="12" hidden="1" customHeight="1">
      <c r="A387" s="112">
        <v>456</v>
      </c>
      <c r="D387" s="117" t="s">
        <v>4411</v>
      </c>
      <c r="E387" s="117" t="str">
        <f>"10.11."&amp;A131&amp;".254"</f>
        <v>10.11.329.254</v>
      </c>
      <c r="F387" s="112" t="s">
        <v>3974</v>
      </c>
      <c r="G387" s="112" t="s">
        <v>3978</v>
      </c>
    </row>
    <row r="388" spans="1:13" ht="12" customHeight="1">
      <c r="A388" s="112">
        <v>379</v>
      </c>
      <c r="B388" s="117" t="s">
        <v>3982</v>
      </c>
      <c r="C388" s="112" t="s">
        <v>509</v>
      </c>
      <c r="D388" s="117" t="s">
        <v>4412</v>
      </c>
      <c r="E388" s="117" t="e">
        <f>"10.11."&amp;#REF!&amp;".254"</f>
        <v>#REF!</v>
      </c>
      <c r="F388" s="112" t="s">
        <v>3974</v>
      </c>
      <c r="G388" s="112" t="s">
        <v>3978</v>
      </c>
      <c r="I388" s="112" t="s">
        <v>509</v>
      </c>
      <c r="M388" s="117" t="str">
        <f>D388&amp;"-254"</f>
        <v>10.11.123.0-254</v>
      </c>
    </row>
    <row r="389" spans="1:13" ht="12" hidden="1" customHeight="1">
      <c r="A389" s="112">
        <v>457</v>
      </c>
      <c r="D389" s="117" t="s">
        <v>4413</v>
      </c>
      <c r="E389" s="117" t="str">
        <f>"10.11."&amp;A133&amp;".254"</f>
        <v>10.11.331.254</v>
      </c>
      <c r="F389" s="112" t="s">
        <v>3974</v>
      </c>
      <c r="G389" s="112" t="s">
        <v>3978</v>
      </c>
    </row>
    <row r="390" spans="1:13" ht="12" customHeight="1">
      <c r="A390" s="112">
        <v>380</v>
      </c>
      <c r="B390" s="117" t="s">
        <v>3982</v>
      </c>
      <c r="C390" s="112" t="s">
        <v>4414</v>
      </c>
      <c r="D390" s="117" t="s">
        <v>4415</v>
      </c>
      <c r="E390" s="117" t="e">
        <f>"10.11."&amp;#REF!&amp;".254"</f>
        <v>#REF!</v>
      </c>
      <c r="F390" s="112" t="s">
        <v>3974</v>
      </c>
      <c r="G390" s="112" t="s">
        <v>3978</v>
      </c>
      <c r="H390" s="112" t="s">
        <v>556</v>
      </c>
      <c r="J390" s="112" t="s">
        <v>509</v>
      </c>
      <c r="M390" s="117" t="str">
        <f>D390&amp;"-254"</f>
        <v>10.11.124.0-254</v>
      </c>
    </row>
    <row r="391" spans="1:13" ht="12" hidden="1" customHeight="1">
      <c r="A391" s="112">
        <v>458</v>
      </c>
      <c r="D391" s="117" t="s">
        <v>4416</v>
      </c>
      <c r="E391" s="117" t="str">
        <f>"10.11."&amp;A135&amp;".254"</f>
        <v>10.11.333.254</v>
      </c>
      <c r="F391" s="112" t="s">
        <v>3974</v>
      </c>
      <c r="G391" s="112" t="s">
        <v>3978</v>
      </c>
    </row>
    <row r="392" spans="1:13" ht="12" customHeight="1">
      <c r="A392" s="112">
        <v>381</v>
      </c>
      <c r="B392" s="117" t="s">
        <v>3982</v>
      </c>
      <c r="C392" s="112" t="s">
        <v>556</v>
      </c>
      <c r="D392" s="117" t="s">
        <v>4417</v>
      </c>
      <c r="E392" s="117" t="e">
        <f>"10.11."&amp;#REF!&amp;".254"</f>
        <v>#REF!</v>
      </c>
      <c r="F392" s="112" t="s">
        <v>3974</v>
      </c>
      <c r="G392" s="112" t="s">
        <v>3978</v>
      </c>
      <c r="I392" s="112" t="s">
        <v>556</v>
      </c>
      <c r="M392" s="117" t="str">
        <f>D392&amp;"-254"</f>
        <v>10.11.125.0-254</v>
      </c>
    </row>
    <row r="393" spans="1:13" ht="12" hidden="1" customHeight="1">
      <c r="A393" s="112">
        <v>459</v>
      </c>
      <c r="D393" s="117" t="s">
        <v>4418</v>
      </c>
      <c r="E393" s="117" t="str">
        <f>"10.11."&amp;A137&amp;".254"</f>
        <v>10.11.335.254</v>
      </c>
      <c r="F393" s="112" t="s">
        <v>3974</v>
      </c>
      <c r="G393" s="112" t="s">
        <v>3978</v>
      </c>
    </row>
    <row r="394" spans="1:13" ht="12" hidden="1" customHeight="1">
      <c r="A394" s="112">
        <f>A393+1</f>
        <v>460</v>
      </c>
      <c r="D394" s="117" t="s">
        <v>4419</v>
      </c>
      <c r="E394" s="117" t="str">
        <f>"10.10."&amp;A394&amp;".254"</f>
        <v>10.10.460.254</v>
      </c>
      <c r="F394" s="112" t="s">
        <v>3974</v>
      </c>
      <c r="G394" s="112" t="s">
        <v>3978</v>
      </c>
    </row>
    <row r="395" spans="1:13" ht="12" hidden="1" customHeight="1">
      <c r="A395" s="112">
        <v>460</v>
      </c>
      <c r="D395" s="117" t="s">
        <v>4420</v>
      </c>
      <c r="E395" s="117" t="str">
        <f>"10.11."&amp;A139&amp;".254"</f>
        <v>10.11.337.254</v>
      </c>
      <c r="F395" s="112" t="s">
        <v>3974</v>
      </c>
      <c r="G395" s="112" t="s">
        <v>3978</v>
      </c>
    </row>
    <row r="396" spans="1:13" ht="12" customHeight="1">
      <c r="A396" s="112">
        <v>382</v>
      </c>
      <c r="B396" s="117" t="s">
        <v>3982</v>
      </c>
      <c r="C396" s="112" t="s">
        <v>556</v>
      </c>
      <c r="D396" s="117" t="s">
        <v>4421</v>
      </c>
      <c r="E396" s="117" t="e">
        <f>"10.11."&amp;#REF!&amp;".254"</f>
        <v>#REF!</v>
      </c>
      <c r="F396" s="112" t="s">
        <v>3974</v>
      </c>
      <c r="G396" s="112" t="s">
        <v>3978</v>
      </c>
      <c r="J396" s="112" t="s">
        <v>556</v>
      </c>
      <c r="M396" s="117" t="str">
        <f>D396&amp;"-254"</f>
        <v>10.11.126.0-254</v>
      </c>
    </row>
    <row r="397" spans="1:13" ht="12" hidden="1" customHeight="1">
      <c r="A397" s="112">
        <v>461</v>
      </c>
      <c r="D397" s="117" t="s">
        <v>4422</v>
      </c>
      <c r="E397" s="117" t="str">
        <f>"10.11."&amp;A141&amp;".254"</f>
        <v>10.11.339.254</v>
      </c>
      <c r="F397" s="112" t="s">
        <v>3974</v>
      </c>
      <c r="G397" s="112" t="s">
        <v>3978</v>
      </c>
    </row>
    <row r="398" spans="1:13" ht="12" customHeight="1">
      <c r="A398" s="112">
        <v>387</v>
      </c>
      <c r="B398" s="117" t="s">
        <v>3982</v>
      </c>
      <c r="C398" s="112" t="s">
        <v>611</v>
      </c>
      <c r="D398" s="117" t="s">
        <v>4423</v>
      </c>
      <c r="E398" s="117" t="e">
        <f>"10.11."&amp;#REF!&amp;".254"</f>
        <v>#REF!</v>
      </c>
      <c r="F398" s="112" t="s">
        <v>3974</v>
      </c>
      <c r="G398" s="112" t="s">
        <v>3978</v>
      </c>
      <c r="H398" s="112" t="s">
        <v>611</v>
      </c>
      <c r="M398" s="117" t="str">
        <f>D398&amp;"-254"</f>
        <v>10.11.131.0-254</v>
      </c>
    </row>
    <row r="399" spans="1:13" ht="12" hidden="1" customHeight="1">
      <c r="A399" s="112">
        <v>462</v>
      </c>
      <c r="D399" s="117" t="s">
        <v>4424</v>
      </c>
      <c r="E399" s="117" t="str">
        <f>"10.11."&amp;A143&amp;".254"</f>
        <v>10.11.341.254</v>
      </c>
      <c r="F399" s="112" t="s">
        <v>3974</v>
      </c>
      <c r="G399" s="112" t="s">
        <v>3978</v>
      </c>
    </row>
    <row r="400" spans="1:13" ht="12" customHeight="1">
      <c r="A400" s="112">
        <v>388</v>
      </c>
      <c r="B400" s="117" t="s">
        <v>3982</v>
      </c>
      <c r="C400" s="112" t="s">
        <v>611</v>
      </c>
      <c r="D400" s="117" t="s">
        <v>4425</v>
      </c>
      <c r="E400" s="117" t="e">
        <f>"10.11."&amp;#REF!&amp;".254"</f>
        <v>#REF!</v>
      </c>
      <c r="F400" s="112" t="s">
        <v>3974</v>
      </c>
      <c r="G400" s="112" t="s">
        <v>3978</v>
      </c>
      <c r="I400" s="112" t="s">
        <v>611</v>
      </c>
      <c r="M400" s="117" t="str">
        <f>D400&amp;"-254"</f>
        <v>10.11.132.0-254</v>
      </c>
    </row>
    <row r="401" spans="1:13" ht="12" hidden="1" customHeight="1">
      <c r="A401" s="112">
        <v>463</v>
      </c>
      <c r="D401" s="117" t="s">
        <v>4426</v>
      </c>
      <c r="E401" s="117" t="str">
        <f>"10.11."&amp;A145&amp;".254"</f>
        <v>10.11.343.254</v>
      </c>
      <c r="F401" s="112" t="s">
        <v>3974</v>
      </c>
      <c r="G401" s="112" t="s">
        <v>3978</v>
      </c>
    </row>
    <row r="402" spans="1:13" ht="12" hidden="1" customHeight="1">
      <c r="A402" s="112">
        <f>A401+1</f>
        <v>464</v>
      </c>
      <c r="D402" s="117" t="s">
        <v>4427</v>
      </c>
      <c r="E402" s="117" t="str">
        <f>"10.10."&amp;A402&amp;".254"</f>
        <v>10.10.464.254</v>
      </c>
      <c r="F402" s="112" t="s">
        <v>3974</v>
      </c>
      <c r="G402" s="112" t="s">
        <v>3978</v>
      </c>
    </row>
    <row r="403" spans="1:13" ht="12" hidden="1" customHeight="1">
      <c r="A403" s="112">
        <v>464</v>
      </c>
      <c r="D403" s="117" t="s">
        <v>4428</v>
      </c>
      <c r="E403" s="117" t="str">
        <f>"10.11."&amp;A147&amp;".254"</f>
        <v>10.11.345.254</v>
      </c>
      <c r="F403" s="112" t="s">
        <v>3974</v>
      </c>
      <c r="G403" s="112" t="s">
        <v>3978</v>
      </c>
    </row>
    <row r="404" spans="1:13" ht="12" hidden="1" customHeight="1">
      <c r="A404" s="112">
        <f>A403+1</f>
        <v>465</v>
      </c>
      <c r="D404" s="117" t="s">
        <v>4429</v>
      </c>
      <c r="E404" s="117" t="str">
        <f>"10.10."&amp;A404&amp;".254"</f>
        <v>10.10.465.254</v>
      </c>
      <c r="F404" s="112" t="s">
        <v>3974</v>
      </c>
      <c r="G404" s="112" t="s">
        <v>3978</v>
      </c>
    </row>
    <row r="405" spans="1:13" ht="12" hidden="1" customHeight="1">
      <c r="A405" s="112">
        <v>465</v>
      </c>
      <c r="D405" s="117" t="s">
        <v>4430</v>
      </c>
      <c r="E405" s="117" t="str">
        <f>"10.11."&amp;A149&amp;".254"</f>
        <v>10.11.347.254</v>
      </c>
      <c r="F405" s="112" t="s">
        <v>3974</v>
      </c>
      <c r="G405" s="112" t="s">
        <v>3978</v>
      </c>
    </row>
    <row r="406" spans="1:13" ht="12" hidden="1" customHeight="1">
      <c r="A406" s="112">
        <f>A405+1</f>
        <v>466</v>
      </c>
      <c r="D406" s="117" t="s">
        <v>4431</v>
      </c>
      <c r="E406" s="117" t="str">
        <f>"10.10."&amp;A406&amp;".254"</f>
        <v>10.10.466.254</v>
      </c>
      <c r="F406" s="112" t="s">
        <v>3974</v>
      </c>
      <c r="G406" s="112" t="s">
        <v>3978</v>
      </c>
    </row>
    <row r="407" spans="1:13" ht="12" hidden="1" customHeight="1">
      <c r="A407" s="112">
        <v>466</v>
      </c>
      <c r="D407" s="117" t="s">
        <v>4432</v>
      </c>
      <c r="E407" s="117" t="str">
        <f>"10.11."&amp;A151&amp;".254"</f>
        <v>10.11.349.254</v>
      </c>
      <c r="F407" s="112" t="s">
        <v>3974</v>
      </c>
      <c r="G407" s="112" t="s">
        <v>3978</v>
      </c>
    </row>
    <row r="408" spans="1:13" ht="12" hidden="1" customHeight="1">
      <c r="A408" s="112">
        <f>A407+1</f>
        <v>467</v>
      </c>
      <c r="D408" s="117" t="s">
        <v>4433</v>
      </c>
      <c r="E408" s="117" t="str">
        <f>"10.10."&amp;A408&amp;".254"</f>
        <v>10.10.467.254</v>
      </c>
      <c r="F408" s="112" t="s">
        <v>3974</v>
      </c>
      <c r="G408" s="112" t="s">
        <v>3978</v>
      </c>
    </row>
    <row r="409" spans="1:13" ht="12" hidden="1" customHeight="1">
      <c r="A409" s="112">
        <v>467</v>
      </c>
      <c r="D409" s="117" t="s">
        <v>4434</v>
      </c>
      <c r="E409" s="117" t="str">
        <f>"10.11."&amp;A153&amp;".254"</f>
        <v>10.11.351.254</v>
      </c>
      <c r="F409" s="112" t="s">
        <v>3974</v>
      </c>
      <c r="G409" s="112" t="s">
        <v>3978</v>
      </c>
    </row>
    <row r="410" spans="1:13" ht="12" hidden="1" customHeight="1">
      <c r="A410" s="112">
        <f>A409+1</f>
        <v>468</v>
      </c>
      <c r="D410" s="117" t="s">
        <v>4435</v>
      </c>
      <c r="E410" s="117" t="str">
        <f>"10.10."&amp;A410&amp;".254"</f>
        <v>10.10.468.254</v>
      </c>
      <c r="F410" s="112" t="s">
        <v>3974</v>
      </c>
      <c r="G410" s="112" t="s">
        <v>3978</v>
      </c>
    </row>
    <row r="411" spans="1:13" ht="12" hidden="1" customHeight="1">
      <c r="A411" s="112">
        <v>468</v>
      </c>
      <c r="D411" s="117" t="s">
        <v>4436</v>
      </c>
      <c r="E411" s="117" t="str">
        <f>"10.11."&amp;A155&amp;".254"</f>
        <v>10.11.353.254</v>
      </c>
      <c r="F411" s="112" t="s">
        <v>3974</v>
      </c>
      <c r="G411" s="112" t="s">
        <v>3978</v>
      </c>
    </row>
    <row r="412" spans="1:13" ht="12" hidden="1" customHeight="1">
      <c r="A412" s="112">
        <f>A411+1</f>
        <v>469</v>
      </c>
      <c r="D412" s="117" t="s">
        <v>4437</v>
      </c>
      <c r="E412" s="117" t="str">
        <f>"10.10."&amp;A412&amp;".254"</f>
        <v>10.10.469.254</v>
      </c>
      <c r="F412" s="112" t="s">
        <v>3974</v>
      </c>
      <c r="G412" s="112" t="s">
        <v>3978</v>
      </c>
    </row>
    <row r="413" spans="1:13" ht="12" hidden="1" customHeight="1">
      <c r="A413" s="112">
        <v>469</v>
      </c>
      <c r="D413" s="117" t="s">
        <v>4438</v>
      </c>
      <c r="E413" s="117" t="str">
        <f>"10.11."&amp;A157&amp;".254"</f>
        <v>10.11.355.254</v>
      </c>
      <c r="F413" s="112" t="s">
        <v>3974</v>
      </c>
      <c r="G413" s="112" t="s">
        <v>3978</v>
      </c>
    </row>
    <row r="414" spans="1:13" ht="12" customHeight="1">
      <c r="A414" s="112">
        <v>389</v>
      </c>
      <c r="B414" s="117" t="s">
        <v>3982</v>
      </c>
      <c r="C414" s="112" t="s">
        <v>611</v>
      </c>
      <c r="D414" s="117" t="s">
        <v>4439</v>
      </c>
      <c r="E414" s="117" t="e">
        <f>"10.11."&amp;#REF!&amp;".254"</f>
        <v>#REF!</v>
      </c>
      <c r="F414" s="112" t="s">
        <v>3974</v>
      </c>
      <c r="G414" s="112" t="s">
        <v>3978</v>
      </c>
      <c r="J414" s="112" t="s">
        <v>611</v>
      </c>
      <c r="M414" s="117" t="str">
        <f>D414&amp;"-254"</f>
        <v>10.11.133.0-254</v>
      </c>
    </row>
    <row r="415" spans="1:13" ht="12" hidden="1" customHeight="1">
      <c r="A415" s="112">
        <v>470</v>
      </c>
      <c r="D415" s="117" t="s">
        <v>4440</v>
      </c>
      <c r="E415" s="117" t="str">
        <f>"10.11."&amp;A159&amp;".254"</f>
        <v>10.11.357.254</v>
      </c>
      <c r="F415" s="112" t="s">
        <v>3974</v>
      </c>
      <c r="G415" s="112" t="s">
        <v>3978</v>
      </c>
    </row>
    <row r="416" spans="1:13" ht="12" customHeight="1">
      <c r="A416" s="112">
        <v>295</v>
      </c>
      <c r="B416" s="117" t="s">
        <v>3982</v>
      </c>
      <c r="C416" s="112" t="s">
        <v>567</v>
      </c>
      <c r="D416" s="117" t="s">
        <v>4441</v>
      </c>
      <c r="E416" s="117" t="e">
        <f>"10.11."&amp;#REF!&amp;".254"</f>
        <v>#REF!</v>
      </c>
      <c r="F416" s="112" t="s">
        <v>3974</v>
      </c>
      <c r="G416" s="112" t="s">
        <v>3978</v>
      </c>
      <c r="J416" s="112" t="s">
        <v>567</v>
      </c>
      <c r="M416" s="117" t="str">
        <f>D416&amp;"-254"</f>
        <v>10.11.39.0-254</v>
      </c>
    </row>
    <row r="417" spans="1:13" ht="12" hidden="1" customHeight="1">
      <c r="A417" s="112">
        <v>471</v>
      </c>
      <c r="D417" s="117" t="s">
        <v>4442</v>
      </c>
      <c r="E417" s="117" t="str">
        <f>"10.11."&amp;A161&amp;".254"</f>
        <v>10.11.352.254</v>
      </c>
      <c r="F417" s="112" t="s">
        <v>3974</v>
      </c>
      <c r="G417" s="112" t="s">
        <v>3978</v>
      </c>
    </row>
    <row r="418" spans="1:13" ht="12" hidden="1" customHeight="1">
      <c r="A418" s="112">
        <f>A417+1</f>
        <v>472</v>
      </c>
      <c r="D418" s="117" t="s">
        <v>4443</v>
      </c>
      <c r="E418" s="117" t="str">
        <f>"10.10."&amp;A418&amp;".254"</f>
        <v>10.10.472.254</v>
      </c>
      <c r="F418" s="112" t="s">
        <v>3974</v>
      </c>
      <c r="G418" s="112" t="s">
        <v>3978</v>
      </c>
    </row>
    <row r="419" spans="1:13" ht="12" hidden="1" customHeight="1">
      <c r="A419" s="112">
        <v>472</v>
      </c>
      <c r="D419" s="117" t="s">
        <v>4444</v>
      </c>
      <c r="E419" s="117" t="str">
        <f>"10.11."&amp;A163&amp;".254"</f>
        <v>10.11.353.254</v>
      </c>
      <c r="F419" s="112" t="s">
        <v>3974</v>
      </c>
      <c r="G419" s="112" t="s">
        <v>3978</v>
      </c>
    </row>
    <row r="420" spans="1:13" ht="12" hidden="1" customHeight="1">
      <c r="A420" s="112">
        <f>A419+1</f>
        <v>473</v>
      </c>
      <c r="D420" s="117" t="s">
        <v>4445</v>
      </c>
      <c r="E420" s="117" t="str">
        <f>"10.10."&amp;A420&amp;".254"</f>
        <v>10.10.473.254</v>
      </c>
      <c r="F420" s="112" t="s">
        <v>3974</v>
      </c>
      <c r="G420" s="112" t="s">
        <v>3978</v>
      </c>
    </row>
    <row r="421" spans="1:13" ht="12" hidden="1" customHeight="1">
      <c r="A421" s="112">
        <v>473</v>
      </c>
      <c r="D421" s="117" t="s">
        <v>4446</v>
      </c>
      <c r="E421" s="117" t="str">
        <f>"10.11."&amp;A165&amp;".254"</f>
        <v>10.11.354.254</v>
      </c>
      <c r="F421" s="112" t="s">
        <v>3974</v>
      </c>
      <c r="G421" s="112" t="s">
        <v>3978</v>
      </c>
    </row>
    <row r="422" spans="1:13" ht="12" hidden="1" customHeight="1">
      <c r="A422" s="112">
        <f>A421+1</f>
        <v>474</v>
      </c>
      <c r="D422" s="117" t="s">
        <v>4447</v>
      </c>
      <c r="E422" s="117" t="str">
        <f>"10.10."&amp;A422&amp;".254"</f>
        <v>10.10.474.254</v>
      </c>
      <c r="F422" s="112" t="s">
        <v>3974</v>
      </c>
      <c r="G422" s="112" t="s">
        <v>3978</v>
      </c>
    </row>
    <row r="423" spans="1:13" ht="12" hidden="1" customHeight="1">
      <c r="A423" s="112">
        <v>474</v>
      </c>
      <c r="D423" s="117" t="s">
        <v>4448</v>
      </c>
      <c r="E423" s="117" t="str">
        <f>"10.11."&amp;A167&amp;".254"</f>
        <v>10.11.355.254</v>
      </c>
      <c r="F423" s="112" t="s">
        <v>3974</v>
      </c>
      <c r="G423" s="112" t="s">
        <v>3978</v>
      </c>
    </row>
    <row r="424" spans="1:13" ht="12" hidden="1" customHeight="1">
      <c r="A424" s="112">
        <f>A423+1</f>
        <v>475</v>
      </c>
      <c r="D424" s="117" t="s">
        <v>4449</v>
      </c>
      <c r="E424" s="117" t="str">
        <f>"10.10."&amp;A424&amp;".254"</f>
        <v>10.10.475.254</v>
      </c>
      <c r="F424" s="112" t="s">
        <v>3974</v>
      </c>
      <c r="G424" s="112" t="s">
        <v>3978</v>
      </c>
    </row>
    <row r="425" spans="1:13" ht="12" hidden="1" customHeight="1">
      <c r="A425" s="112">
        <v>475</v>
      </c>
      <c r="D425" s="117" t="s">
        <v>4450</v>
      </c>
      <c r="E425" s="117" t="str">
        <f>"10.11."&amp;A169&amp;".254"</f>
        <v>10.11.356.254</v>
      </c>
      <c r="F425" s="112" t="s">
        <v>3974</v>
      </c>
      <c r="G425" s="112" t="s">
        <v>3978</v>
      </c>
    </row>
    <row r="426" spans="1:13" ht="12" hidden="1" customHeight="1">
      <c r="A426" s="112">
        <f>A425+1</f>
        <v>476</v>
      </c>
      <c r="D426" s="117" t="s">
        <v>4451</v>
      </c>
      <c r="E426" s="117" t="str">
        <f>"10.10."&amp;A426&amp;".254"</f>
        <v>10.10.476.254</v>
      </c>
      <c r="F426" s="112" t="s">
        <v>3974</v>
      </c>
      <c r="G426" s="112" t="s">
        <v>3978</v>
      </c>
    </row>
    <row r="427" spans="1:13" ht="12" hidden="1" customHeight="1">
      <c r="A427" s="112">
        <v>476</v>
      </c>
      <c r="D427" s="117" t="s">
        <v>4452</v>
      </c>
      <c r="E427" s="117" t="str">
        <f>"10.11."&amp;A171&amp;".254"</f>
        <v>10.11.357.254</v>
      </c>
      <c r="F427" s="112" t="s">
        <v>3974</v>
      </c>
      <c r="G427" s="112" t="s">
        <v>3978</v>
      </c>
    </row>
    <row r="428" spans="1:13" ht="12" hidden="1" customHeight="1">
      <c r="A428" s="112">
        <f>A427+1</f>
        <v>477</v>
      </c>
      <c r="D428" s="117" t="s">
        <v>4453</v>
      </c>
      <c r="E428" s="117" t="str">
        <f>"10.10."&amp;A428&amp;".254"</f>
        <v>10.10.477.254</v>
      </c>
      <c r="F428" s="112" t="s">
        <v>3974</v>
      </c>
      <c r="G428" s="112" t="s">
        <v>3978</v>
      </c>
    </row>
    <row r="429" spans="1:13" ht="12" hidden="1" customHeight="1">
      <c r="A429" s="112">
        <v>477</v>
      </c>
      <c r="D429" s="117" t="s">
        <v>4454</v>
      </c>
      <c r="E429" s="117" t="str">
        <f>"10.11."&amp;A173&amp;".254"</f>
        <v>10.11.358.254</v>
      </c>
      <c r="F429" s="112" t="s">
        <v>3974</v>
      </c>
      <c r="G429" s="112" t="s">
        <v>3978</v>
      </c>
    </row>
    <row r="430" spans="1:13" ht="12" hidden="1" customHeight="1">
      <c r="A430" s="112">
        <f>A429+1</f>
        <v>478</v>
      </c>
      <c r="D430" s="117" t="s">
        <v>4455</v>
      </c>
      <c r="E430" s="117" t="str">
        <f>"10.10."&amp;A430&amp;".254"</f>
        <v>10.10.478.254</v>
      </c>
      <c r="F430" s="112" t="s">
        <v>3974</v>
      </c>
      <c r="G430" s="112" t="s">
        <v>3978</v>
      </c>
    </row>
    <row r="431" spans="1:13" ht="12" hidden="1" customHeight="1">
      <c r="A431" s="112">
        <v>478</v>
      </c>
      <c r="D431" s="117" t="s">
        <v>4456</v>
      </c>
      <c r="E431" s="117" t="str">
        <f>"10.11."&amp;A175&amp;".254"</f>
        <v>10.11.359.254</v>
      </c>
      <c r="F431" s="112" t="s">
        <v>3974</v>
      </c>
      <c r="G431" s="112" t="s">
        <v>3978</v>
      </c>
    </row>
    <row r="432" spans="1:13" ht="12" customHeight="1">
      <c r="A432" s="112">
        <v>349</v>
      </c>
      <c r="B432" s="117" t="s">
        <v>3982</v>
      </c>
      <c r="C432" s="112" t="s">
        <v>520</v>
      </c>
      <c r="D432" s="117" t="s">
        <v>4457</v>
      </c>
      <c r="E432" s="117" t="e">
        <f>"10.11."&amp;#REF!&amp;".254"</f>
        <v>#REF!</v>
      </c>
      <c r="F432" s="112" t="s">
        <v>3974</v>
      </c>
      <c r="G432" s="112" t="s">
        <v>3978</v>
      </c>
      <c r="H432" s="112" t="s">
        <v>520</v>
      </c>
      <c r="M432" s="117" t="str">
        <f>D432&amp;"-254"</f>
        <v>10.11.93.0-254</v>
      </c>
    </row>
    <row r="433" spans="1:13" ht="12" hidden="1" customHeight="1">
      <c r="A433" s="112">
        <v>479</v>
      </c>
      <c r="D433" s="117" t="s">
        <v>4458</v>
      </c>
      <c r="E433" s="117" t="str">
        <f>"10.11."&amp;A177&amp;".254"</f>
        <v>10.11.360.254</v>
      </c>
      <c r="F433" s="112" t="s">
        <v>3974</v>
      </c>
      <c r="G433" s="112" t="s">
        <v>3978</v>
      </c>
    </row>
    <row r="434" spans="1:13" ht="12" customHeight="1">
      <c r="A434" s="112">
        <v>350</v>
      </c>
      <c r="B434" s="117" t="s">
        <v>3982</v>
      </c>
      <c r="C434" s="112" t="s">
        <v>520</v>
      </c>
      <c r="D434" s="117" t="s">
        <v>4459</v>
      </c>
      <c r="E434" s="117" t="e">
        <f>"10.11."&amp;#REF!&amp;".254"</f>
        <v>#REF!</v>
      </c>
      <c r="F434" s="112" t="s">
        <v>3974</v>
      </c>
      <c r="G434" s="112" t="s">
        <v>3978</v>
      </c>
      <c r="I434" s="112" t="s">
        <v>520</v>
      </c>
      <c r="M434" s="117" t="str">
        <f>D434&amp;"-254"</f>
        <v>10.11.94.0-254</v>
      </c>
    </row>
    <row r="435" spans="1:13" ht="12" hidden="1" customHeight="1">
      <c r="A435" s="112">
        <v>480</v>
      </c>
      <c r="D435" s="117" t="s">
        <v>4460</v>
      </c>
      <c r="E435" s="117" t="str">
        <f>"10.11."&amp;A179&amp;".254"</f>
        <v>10.11.361.254</v>
      </c>
      <c r="F435" s="112" t="s">
        <v>3974</v>
      </c>
      <c r="G435" s="112" t="s">
        <v>3978</v>
      </c>
    </row>
    <row r="436" spans="1:13" ht="12" customHeight="1">
      <c r="A436" s="112">
        <v>351</v>
      </c>
      <c r="B436" s="117" t="s">
        <v>3982</v>
      </c>
      <c r="C436" s="112" t="s">
        <v>520</v>
      </c>
      <c r="D436" s="117" t="s">
        <v>4461</v>
      </c>
      <c r="E436" s="117" t="e">
        <f>"10.11."&amp;#REF!&amp;".254"</f>
        <v>#REF!</v>
      </c>
      <c r="F436" s="112" t="s">
        <v>3974</v>
      </c>
      <c r="G436" s="112" t="s">
        <v>3978</v>
      </c>
      <c r="J436" s="112" t="s">
        <v>520</v>
      </c>
      <c r="M436" s="117" t="str">
        <f>D436&amp;"-254"</f>
        <v>10.11.95.0-254</v>
      </c>
    </row>
    <row r="437" spans="1:13" ht="12" hidden="1" customHeight="1">
      <c r="A437" s="112">
        <v>481</v>
      </c>
      <c r="D437" s="117" t="s">
        <v>4462</v>
      </c>
      <c r="E437" s="117" t="str">
        <f>"10.11."&amp;A181&amp;".254"</f>
        <v>10.11.362.254</v>
      </c>
      <c r="F437" s="112" t="s">
        <v>3974</v>
      </c>
      <c r="G437" s="112" t="s">
        <v>3978</v>
      </c>
    </row>
    <row r="438" spans="1:13" ht="12" hidden="1" customHeight="1">
      <c r="A438" s="112">
        <f>A437+1</f>
        <v>482</v>
      </c>
      <c r="D438" s="117" t="s">
        <v>4463</v>
      </c>
      <c r="E438" s="117" t="str">
        <f>"10.10."&amp;A438&amp;".254"</f>
        <v>10.10.482.254</v>
      </c>
      <c r="F438" s="112" t="s">
        <v>3974</v>
      </c>
      <c r="G438" s="112" t="s">
        <v>3978</v>
      </c>
    </row>
    <row r="439" spans="1:13" ht="12" hidden="1" customHeight="1">
      <c r="A439" s="112">
        <v>482</v>
      </c>
      <c r="D439" s="117" t="s">
        <v>4464</v>
      </c>
      <c r="E439" s="117" t="str">
        <f>"10.11."&amp;A183&amp;".254"</f>
        <v>10.11.363.254</v>
      </c>
      <c r="F439" s="112" t="s">
        <v>3974</v>
      </c>
      <c r="G439" s="112" t="s">
        <v>3978</v>
      </c>
    </row>
    <row r="440" spans="1:13" ht="12" hidden="1" customHeight="1">
      <c r="A440" s="112">
        <f>A439+1</f>
        <v>483</v>
      </c>
      <c r="D440" s="117" t="s">
        <v>4465</v>
      </c>
      <c r="E440" s="117" t="str">
        <f>"10.10."&amp;A440&amp;".254"</f>
        <v>10.10.483.254</v>
      </c>
      <c r="F440" s="112" t="s">
        <v>3974</v>
      </c>
      <c r="G440" s="112" t="s">
        <v>3978</v>
      </c>
    </row>
    <row r="441" spans="1:13" ht="12" hidden="1" customHeight="1">
      <c r="A441" s="112">
        <v>483</v>
      </c>
      <c r="D441" s="117" t="s">
        <v>4466</v>
      </c>
      <c r="E441" s="117" t="str">
        <f>"10.11."&amp;A185&amp;".254"</f>
        <v>10.11.365.254</v>
      </c>
      <c r="F441" s="112" t="s">
        <v>3974</v>
      </c>
      <c r="G441" s="112" t="s">
        <v>3978</v>
      </c>
    </row>
    <row r="442" spans="1:13" ht="12" hidden="1" customHeight="1">
      <c r="A442" s="112">
        <f>A441+1</f>
        <v>484</v>
      </c>
      <c r="D442" s="117" t="s">
        <v>4467</v>
      </c>
      <c r="E442" s="117" t="str">
        <f>"10.10."&amp;A442&amp;".254"</f>
        <v>10.10.484.254</v>
      </c>
      <c r="F442" s="112" t="s">
        <v>3974</v>
      </c>
      <c r="G442" s="112" t="s">
        <v>3978</v>
      </c>
    </row>
    <row r="443" spans="1:13" ht="12" hidden="1" customHeight="1">
      <c r="A443" s="112">
        <v>484</v>
      </c>
      <c r="D443" s="117" t="s">
        <v>4468</v>
      </c>
      <c r="E443" s="117" t="str">
        <f>"10.11."&amp;A187&amp;".254"</f>
        <v>10.11.367.254</v>
      </c>
      <c r="F443" s="112" t="s">
        <v>3974</v>
      </c>
      <c r="G443" s="112" t="s">
        <v>3978</v>
      </c>
    </row>
    <row r="444" spans="1:13" ht="12" hidden="1" customHeight="1">
      <c r="A444" s="112">
        <f>A443+1</f>
        <v>485</v>
      </c>
      <c r="D444" s="117" t="s">
        <v>4469</v>
      </c>
      <c r="E444" s="117" t="str">
        <f>"10.10."&amp;A444&amp;".254"</f>
        <v>10.10.485.254</v>
      </c>
      <c r="F444" s="112" t="s">
        <v>3974</v>
      </c>
      <c r="G444" s="112" t="s">
        <v>3978</v>
      </c>
    </row>
    <row r="445" spans="1:13" ht="12" hidden="1" customHeight="1">
      <c r="A445" s="112">
        <v>485</v>
      </c>
      <c r="D445" s="117" t="s">
        <v>4470</v>
      </c>
      <c r="E445" s="117" t="str">
        <f>"10.11."&amp;A189&amp;".254"</f>
        <v>10.11.369.254</v>
      </c>
      <c r="F445" s="112" t="s">
        <v>3974</v>
      </c>
      <c r="G445" s="112" t="s">
        <v>3978</v>
      </c>
    </row>
    <row r="446" spans="1:13" ht="12" hidden="1" customHeight="1">
      <c r="A446" s="112">
        <f>A445+1</f>
        <v>486</v>
      </c>
      <c r="D446" s="117" t="s">
        <v>4471</v>
      </c>
      <c r="E446" s="117" t="str">
        <f>"10.10."&amp;A446&amp;".254"</f>
        <v>10.10.486.254</v>
      </c>
      <c r="F446" s="112" t="s">
        <v>3974</v>
      </c>
      <c r="G446" s="112" t="s">
        <v>3978</v>
      </c>
    </row>
    <row r="447" spans="1:13" ht="12" hidden="1" customHeight="1">
      <c r="A447" s="112">
        <v>486</v>
      </c>
      <c r="D447" s="117" t="s">
        <v>4472</v>
      </c>
      <c r="E447" s="117" t="str">
        <f>"10.11."&amp;A191&amp;".254"</f>
        <v>10.11.371.254</v>
      </c>
      <c r="F447" s="112" t="s">
        <v>3974</v>
      </c>
      <c r="G447" s="112" t="s">
        <v>3978</v>
      </c>
    </row>
    <row r="448" spans="1:13" ht="12" hidden="1" customHeight="1">
      <c r="A448" s="112">
        <f>A447+1</f>
        <v>487</v>
      </c>
      <c r="D448" s="117" t="s">
        <v>4473</v>
      </c>
      <c r="E448" s="117" t="str">
        <f>"10.10."&amp;A448&amp;".254"</f>
        <v>10.10.487.254</v>
      </c>
      <c r="F448" s="112" t="s">
        <v>3974</v>
      </c>
      <c r="G448" s="112" t="s">
        <v>3978</v>
      </c>
    </row>
    <row r="449" spans="1:7" ht="12" hidden="1" customHeight="1">
      <c r="A449" s="112">
        <v>487</v>
      </c>
      <c r="D449" s="117" t="s">
        <v>4474</v>
      </c>
      <c r="E449" s="117" t="str">
        <f>"10.11."&amp;A193&amp;".254"</f>
        <v>10.11.3.254</v>
      </c>
      <c r="F449" s="112" t="s">
        <v>3974</v>
      </c>
      <c r="G449" s="112" t="s">
        <v>3978</v>
      </c>
    </row>
    <row r="450" spans="1:7" ht="12" hidden="1" customHeight="1">
      <c r="A450" s="112">
        <f>A449+1</f>
        <v>488</v>
      </c>
      <c r="D450" s="117" t="s">
        <v>4475</v>
      </c>
      <c r="E450" s="117" t="str">
        <f>"10.10."&amp;A450&amp;".254"</f>
        <v>10.10.488.254</v>
      </c>
      <c r="F450" s="112" t="s">
        <v>3974</v>
      </c>
      <c r="G450" s="112" t="s">
        <v>3978</v>
      </c>
    </row>
    <row r="451" spans="1:7" ht="12" hidden="1" customHeight="1">
      <c r="A451" s="112">
        <v>488</v>
      </c>
      <c r="D451" s="117" t="s">
        <v>4476</v>
      </c>
      <c r="E451" s="117" t="str">
        <f>"10.11."&amp;A195&amp;".254"</f>
        <v>10.11.5.254</v>
      </c>
      <c r="F451" s="112" t="s">
        <v>3974</v>
      </c>
      <c r="G451" s="112" t="s">
        <v>3978</v>
      </c>
    </row>
    <row r="452" spans="1:7" ht="12" hidden="1" customHeight="1">
      <c r="A452" s="112">
        <f>A451+1</f>
        <v>489</v>
      </c>
      <c r="D452" s="117" t="s">
        <v>4477</v>
      </c>
      <c r="E452" s="117" t="str">
        <f>"10.10."&amp;A452&amp;".254"</f>
        <v>10.10.489.254</v>
      </c>
      <c r="F452" s="112" t="s">
        <v>3974</v>
      </c>
      <c r="G452" s="112" t="s">
        <v>3978</v>
      </c>
    </row>
    <row r="453" spans="1:7" ht="12" hidden="1" customHeight="1">
      <c r="A453" s="112">
        <v>489</v>
      </c>
      <c r="D453" s="117" t="s">
        <v>4478</v>
      </c>
      <c r="E453" s="117" t="str">
        <f>"10.11."&amp;A197&amp;".254"</f>
        <v>10.11.4.254</v>
      </c>
      <c r="F453" s="112" t="s">
        <v>3974</v>
      </c>
      <c r="G453" s="112" t="s">
        <v>3978</v>
      </c>
    </row>
    <row r="454" spans="1:7" ht="12" hidden="1" customHeight="1">
      <c r="A454" s="112">
        <f>A453+1</f>
        <v>490</v>
      </c>
      <c r="D454" s="117" t="s">
        <v>4479</v>
      </c>
      <c r="E454" s="117" t="str">
        <f>"10.10."&amp;A454&amp;".254"</f>
        <v>10.10.490.254</v>
      </c>
      <c r="F454" s="112" t="s">
        <v>3974</v>
      </c>
      <c r="G454" s="112" t="s">
        <v>3978</v>
      </c>
    </row>
    <row r="455" spans="1:7" ht="12" hidden="1" customHeight="1">
      <c r="A455" s="112">
        <v>490</v>
      </c>
      <c r="D455" s="117" t="s">
        <v>4480</v>
      </c>
      <c r="E455" s="117" t="str">
        <f>"10.11."&amp;A199&amp;".254"</f>
        <v>10.11.371.254</v>
      </c>
      <c r="F455" s="112" t="s">
        <v>3974</v>
      </c>
      <c r="G455" s="112" t="s">
        <v>3978</v>
      </c>
    </row>
    <row r="456" spans="1:7" ht="12" hidden="1" customHeight="1">
      <c r="A456" s="112">
        <f>A455+1</f>
        <v>491</v>
      </c>
      <c r="D456" s="117" t="s">
        <v>4481</v>
      </c>
      <c r="E456" s="117" t="str">
        <f>"10.10."&amp;A456&amp;".254"</f>
        <v>10.10.491.254</v>
      </c>
      <c r="F456" s="112" t="s">
        <v>3974</v>
      </c>
      <c r="G456" s="112" t="s">
        <v>3978</v>
      </c>
    </row>
    <row r="457" spans="1:7" ht="12" hidden="1" customHeight="1">
      <c r="A457" s="112">
        <v>491</v>
      </c>
      <c r="D457" s="117" t="s">
        <v>4482</v>
      </c>
      <c r="E457" s="117" t="str">
        <f>"10.11."&amp;A201&amp;".254"</f>
        <v>10.11.373.254</v>
      </c>
      <c r="F457" s="112" t="s">
        <v>3974</v>
      </c>
      <c r="G457" s="112" t="s">
        <v>3978</v>
      </c>
    </row>
    <row r="458" spans="1:7" ht="12" hidden="1" customHeight="1">
      <c r="A458" s="112">
        <f>A457+1</f>
        <v>492</v>
      </c>
      <c r="D458" s="117" t="s">
        <v>4483</v>
      </c>
      <c r="E458" s="117" t="str">
        <f>"10.10."&amp;A458&amp;".254"</f>
        <v>10.10.492.254</v>
      </c>
      <c r="F458" s="112" t="s">
        <v>3974</v>
      </c>
      <c r="G458" s="112" t="s">
        <v>3978</v>
      </c>
    </row>
    <row r="459" spans="1:7" ht="12" hidden="1" customHeight="1">
      <c r="A459" s="112">
        <v>492</v>
      </c>
      <c r="D459" s="117" t="s">
        <v>4484</v>
      </c>
      <c r="E459" s="117" t="str">
        <f>"10.11."&amp;A203&amp;".254"</f>
        <v>10.11.375.254</v>
      </c>
      <c r="F459" s="112" t="s">
        <v>3974</v>
      </c>
      <c r="G459" s="112" t="s">
        <v>3978</v>
      </c>
    </row>
    <row r="460" spans="1:7" ht="12" hidden="1" customHeight="1">
      <c r="A460" s="112">
        <f>A459+1</f>
        <v>493</v>
      </c>
      <c r="D460" s="117" t="s">
        <v>4485</v>
      </c>
      <c r="E460" s="117" t="str">
        <f>"10.10."&amp;A460&amp;".254"</f>
        <v>10.10.493.254</v>
      </c>
      <c r="F460" s="112" t="s">
        <v>3974</v>
      </c>
      <c r="G460" s="112" t="s">
        <v>3978</v>
      </c>
    </row>
    <row r="461" spans="1:7" ht="12" hidden="1" customHeight="1">
      <c r="A461" s="112">
        <v>493</v>
      </c>
      <c r="D461" s="117" t="s">
        <v>4486</v>
      </c>
      <c r="E461" s="117" t="str">
        <f>"10.11."&amp;A205&amp;".254"</f>
        <v>10.11.377.254</v>
      </c>
      <c r="F461" s="112" t="s">
        <v>3974</v>
      </c>
      <c r="G461" s="112" t="s">
        <v>3978</v>
      </c>
    </row>
    <row r="462" spans="1:7" ht="12" hidden="1" customHeight="1">
      <c r="A462" s="112">
        <f>A461+1</f>
        <v>494</v>
      </c>
      <c r="D462" s="117" t="s">
        <v>4487</v>
      </c>
      <c r="E462" s="117" t="str">
        <f>"10.10."&amp;A462&amp;".254"</f>
        <v>10.10.494.254</v>
      </c>
      <c r="F462" s="112" t="s">
        <v>3974</v>
      </c>
      <c r="G462" s="112" t="s">
        <v>3978</v>
      </c>
    </row>
    <row r="463" spans="1:7" ht="12" hidden="1" customHeight="1">
      <c r="A463" s="112">
        <v>494</v>
      </c>
      <c r="D463" s="117" t="s">
        <v>4488</v>
      </c>
      <c r="E463" s="117" t="str">
        <f>"10.11."&amp;A207&amp;".254"</f>
        <v>10.11.4.254</v>
      </c>
      <c r="F463" s="112" t="s">
        <v>3974</v>
      </c>
      <c r="G463" s="112" t="s">
        <v>3978</v>
      </c>
    </row>
    <row r="464" spans="1:7" ht="12" hidden="1" customHeight="1">
      <c r="A464" s="112">
        <f>A463+1</f>
        <v>495</v>
      </c>
      <c r="D464" s="117" t="s">
        <v>4489</v>
      </c>
      <c r="E464" s="117" t="str">
        <f>"10.10."&amp;A464&amp;".254"</f>
        <v>10.10.495.254</v>
      </c>
      <c r="F464" s="112" t="s">
        <v>3974</v>
      </c>
      <c r="G464" s="112" t="s">
        <v>3978</v>
      </c>
    </row>
    <row r="465" spans="1:7" ht="12" hidden="1" customHeight="1">
      <c r="A465" s="112">
        <v>495</v>
      </c>
      <c r="D465" s="117" t="s">
        <v>4490</v>
      </c>
      <c r="E465" s="117" t="str">
        <f>"10.11."&amp;A209&amp;".254"</f>
        <v>10.11.6.254</v>
      </c>
      <c r="F465" s="112" t="s">
        <v>3974</v>
      </c>
      <c r="G465" s="112" t="s">
        <v>3978</v>
      </c>
    </row>
    <row r="466" spans="1:7" ht="12" hidden="1" customHeight="1">
      <c r="A466" s="112">
        <f>A465+1</f>
        <v>496</v>
      </c>
      <c r="D466" s="117" t="s">
        <v>4491</v>
      </c>
      <c r="E466" s="117" t="str">
        <f>"10.10."&amp;A466&amp;".254"</f>
        <v>10.10.496.254</v>
      </c>
      <c r="F466" s="112" t="s">
        <v>3974</v>
      </c>
      <c r="G466" s="112" t="s">
        <v>3978</v>
      </c>
    </row>
    <row r="467" spans="1:7" ht="12" hidden="1" customHeight="1">
      <c r="A467" s="112">
        <v>496</v>
      </c>
      <c r="D467" s="117" t="s">
        <v>4492</v>
      </c>
      <c r="E467" s="117" t="str">
        <f>"10.11."&amp;A211&amp;".254"</f>
        <v>10.11.376.254</v>
      </c>
      <c r="F467" s="112" t="s">
        <v>3974</v>
      </c>
      <c r="G467" s="112" t="s">
        <v>3978</v>
      </c>
    </row>
    <row r="468" spans="1:7" ht="12" hidden="1" customHeight="1">
      <c r="A468" s="112">
        <f>A467+1</f>
        <v>497</v>
      </c>
      <c r="D468" s="117" t="s">
        <v>4493</v>
      </c>
      <c r="E468" s="117" t="str">
        <f>"10.10."&amp;A468&amp;".254"</f>
        <v>10.10.497.254</v>
      </c>
      <c r="F468" s="112" t="s">
        <v>3974</v>
      </c>
      <c r="G468" s="112" t="s">
        <v>3978</v>
      </c>
    </row>
    <row r="469" spans="1:7" ht="12" hidden="1" customHeight="1">
      <c r="A469" s="112">
        <v>497</v>
      </c>
      <c r="D469" s="117" t="s">
        <v>4494</v>
      </c>
      <c r="E469" s="117" t="str">
        <f>"10.11."&amp;A213&amp;".254"</f>
        <v>10.11.377.254</v>
      </c>
      <c r="F469" s="112" t="s">
        <v>3974</v>
      </c>
      <c r="G469" s="112" t="s">
        <v>3978</v>
      </c>
    </row>
    <row r="470" spans="1:7" ht="12" hidden="1" customHeight="1">
      <c r="A470" s="112">
        <f>A469+1</f>
        <v>498</v>
      </c>
      <c r="D470" s="117" t="s">
        <v>4495</v>
      </c>
      <c r="E470" s="117" t="str">
        <f>"10.10."&amp;A470&amp;".254"</f>
        <v>10.10.498.254</v>
      </c>
      <c r="F470" s="112" t="s">
        <v>3974</v>
      </c>
      <c r="G470" s="112" t="s">
        <v>3978</v>
      </c>
    </row>
    <row r="471" spans="1:7" ht="12" hidden="1" customHeight="1">
      <c r="A471" s="112">
        <v>498</v>
      </c>
      <c r="D471" s="117" t="s">
        <v>4496</v>
      </c>
      <c r="E471" s="117" t="str">
        <f>"10.11."&amp;A215&amp;".254"</f>
        <v>10.11.378.254</v>
      </c>
      <c r="F471" s="112" t="s">
        <v>3974</v>
      </c>
      <c r="G471" s="112" t="s">
        <v>3978</v>
      </c>
    </row>
    <row r="472" spans="1:7" ht="12" hidden="1" customHeight="1">
      <c r="A472" s="112">
        <f>A471+1</f>
        <v>499</v>
      </c>
      <c r="D472" s="117" t="s">
        <v>4497</v>
      </c>
      <c r="E472" s="117" t="str">
        <f>"10.10."&amp;A472&amp;".254"</f>
        <v>10.10.499.254</v>
      </c>
      <c r="F472" s="112" t="s">
        <v>3974</v>
      </c>
      <c r="G472" s="112" t="s">
        <v>3978</v>
      </c>
    </row>
    <row r="473" spans="1:7" ht="12" hidden="1" customHeight="1">
      <c r="A473" s="112">
        <v>499</v>
      </c>
      <c r="D473" s="117" t="s">
        <v>4498</v>
      </c>
      <c r="E473" s="117" t="str">
        <f>"10.11."&amp;A217&amp;".254"</f>
        <v>10.11.380.254</v>
      </c>
      <c r="F473" s="112" t="s">
        <v>3974</v>
      </c>
      <c r="G473" s="112" t="s">
        <v>3978</v>
      </c>
    </row>
    <row r="474" spans="1:7" ht="12" hidden="1" customHeight="1">
      <c r="A474" s="112">
        <f>A473+1</f>
        <v>500</v>
      </c>
      <c r="D474" s="117" t="s">
        <v>4499</v>
      </c>
      <c r="E474" s="117" t="str">
        <f>"10.10."&amp;A474&amp;".254"</f>
        <v>10.10.500.254</v>
      </c>
      <c r="F474" s="112" t="s">
        <v>3974</v>
      </c>
      <c r="G474" s="112" t="s">
        <v>3978</v>
      </c>
    </row>
    <row r="475" spans="1:7" ht="12" hidden="1" customHeight="1">
      <c r="A475" s="112">
        <v>500</v>
      </c>
      <c r="D475" s="117" t="s">
        <v>4500</v>
      </c>
      <c r="E475" s="117" t="str">
        <f>"10.11."&amp;A219&amp;".254"</f>
        <v>10.11.382.254</v>
      </c>
      <c r="F475" s="112" t="s">
        <v>3974</v>
      </c>
      <c r="G475" s="112" t="s">
        <v>3978</v>
      </c>
    </row>
    <row r="476" spans="1:7" ht="12" hidden="1" customHeight="1">
      <c r="A476" s="112">
        <f>A475+1</f>
        <v>501</v>
      </c>
      <c r="D476" s="117" t="s">
        <v>4501</v>
      </c>
      <c r="E476" s="117" t="str">
        <f>"10.10."&amp;A476&amp;".254"</f>
        <v>10.10.501.254</v>
      </c>
      <c r="F476" s="112" t="s">
        <v>3974</v>
      </c>
      <c r="G476" s="112" t="s">
        <v>3978</v>
      </c>
    </row>
    <row r="477" spans="1:7" ht="12" hidden="1" customHeight="1">
      <c r="A477" s="112">
        <v>501</v>
      </c>
      <c r="D477" s="117" t="s">
        <v>4502</v>
      </c>
      <c r="E477" s="117" t="str">
        <f>"10.11."&amp;A221&amp;".254"</f>
        <v>10.11.384.254</v>
      </c>
      <c r="F477" s="112" t="s">
        <v>3974</v>
      </c>
      <c r="G477" s="112" t="s">
        <v>3978</v>
      </c>
    </row>
    <row r="478" spans="1:7" ht="12" hidden="1" customHeight="1">
      <c r="A478" s="112">
        <f>A477+1</f>
        <v>502</v>
      </c>
      <c r="D478" s="117" t="s">
        <v>4503</v>
      </c>
      <c r="E478" s="117" t="str">
        <f>"10.10."&amp;A478&amp;".254"</f>
        <v>10.10.502.254</v>
      </c>
      <c r="F478" s="112" t="s">
        <v>3974</v>
      </c>
      <c r="G478" s="112" t="s">
        <v>3978</v>
      </c>
    </row>
    <row r="479" spans="1:7" ht="12" hidden="1" customHeight="1">
      <c r="A479" s="112">
        <v>502</v>
      </c>
      <c r="D479" s="117" t="s">
        <v>4504</v>
      </c>
      <c r="E479" s="117" t="str">
        <f>"10.11."&amp;A223&amp;".254"</f>
        <v>10.11.386.254</v>
      </c>
      <c r="F479" s="112" t="s">
        <v>3974</v>
      </c>
      <c r="G479" s="112" t="s">
        <v>3978</v>
      </c>
    </row>
    <row r="480" spans="1:7" ht="12" hidden="1" customHeight="1">
      <c r="A480" s="112">
        <f>A479+1</f>
        <v>503</v>
      </c>
      <c r="D480" s="117" t="s">
        <v>4505</v>
      </c>
      <c r="E480" s="117" t="str">
        <f>"10.10."&amp;A480&amp;".254"</f>
        <v>10.10.503.254</v>
      </c>
      <c r="F480" s="112" t="s">
        <v>3974</v>
      </c>
      <c r="G480" s="112" t="s">
        <v>3978</v>
      </c>
    </row>
    <row r="481" spans="1:7" ht="12" hidden="1" customHeight="1">
      <c r="A481" s="112">
        <v>503</v>
      </c>
      <c r="D481" s="117" t="s">
        <v>4506</v>
      </c>
      <c r="E481" s="117" t="str">
        <f>"10.11."&amp;A225&amp;".254"</f>
        <v>10.11.388.254</v>
      </c>
      <c r="F481" s="112" t="s">
        <v>3974</v>
      </c>
      <c r="G481" s="112" t="s">
        <v>3978</v>
      </c>
    </row>
    <row r="482" spans="1:7" ht="12" hidden="1" customHeight="1">
      <c r="A482" s="112">
        <f>A481+1</f>
        <v>504</v>
      </c>
      <c r="D482" s="117" t="s">
        <v>4507</v>
      </c>
      <c r="E482" s="117" t="str">
        <f>"10.10."&amp;A482&amp;".254"</f>
        <v>10.10.504.254</v>
      </c>
      <c r="F482" s="112" t="s">
        <v>3974</v>
      </c>
      <c r="G482" s="112" t="s">
        <v>3978</v>
      </c>
    </row>
    <row r="483" spans="1:7" ht="12" hidden="1" customHeight="1">
      <c r="A483" s="112">
        <v>504</v>
      </c>
      <c r="D483" s="117" t="s">
        <v>4508</v>
      </c>
      <c r="E483" s="117" t="str">
        <f>"10.11."&amp;A227&amp;".254"</f>
        <v>10.11.390.254</v>
      </c>
      <c r="F483" s="112" t="s">
        <v>3974</v>
      </c>
      <c r="G483" s="112" t="s">
        <v>3978</v>
      </c>
    </row>
    <row r="484" spans="1:7" ht="12" hidden="1" customHeight="1">
      <c r="A484" s="112">
        <f>A483+1</f>
        <v>505</v>
      </c>
      <c r="D484" s="117" t="s">
        <v>4509</v>
      </c>
      <c r="E484" s="117" t="str">
        <f>"10.10."&amp;A484&amp;".254"</f>
        <v>10.10.505.254</v>
      </c>
      <c r="F484" s="112" t="s">
        <v>3974</v>
      </c>
      <c r="G484" s="112" t="s">
        <v>3978</v>
      </c>
    </row>
    <row r="485" spans="1:7" ht="12" hidden="1" customHeight="1">
      <c r="A485" s="112">
        <v>505</v>
      </c>
      <c r="D485" s="117" t="s">
        <v>4510</v>
      </c>
      <c r="E485" s="117" t="str">
        <f>"10.11."&amp;A229&amp;".254"</f>
        <v>10.11.6.254</v>
      </c>
      <c r="F485" s="112" t="s">
        <v>3974</v>
      </c>
      <c r="G485" s="112" t="s">
        <v>3978</v>
      </c>
    </row>
    <row r="486" spans="1:7" ht="12" hidden="1" customHeight="1">
      <c r="A486" s="112">
        <f>A485+1</f>
        <v>506</v>
      </c>
      <c r="D486" s="117" t="s">
        <v>4511</v>
      </c>
      <c r="E486" s="117" t="str">
        <f>"10.10."&amp;A486&amp;".254"</f>
        <v>10.10.506.254</v>
      </c>
      <c r="F486" s="112" t="s">
        <v>3974</v>
      </c>
      <c r="G486" s="112" t="s">
        <v>3978</v>
      </c>
    </row>
    <row r="487" spans="1:7" ht="12" hidden="1" customHeight="1">
      <c r="A487" s="112">
        <v>506</v>
      </c>
      <c r="D487" s="117" t="s">
        <v>4512</v>
      </c>
      <c r="E487" s="117" t="str">
        <f>"10.11."&amp;A231&amp;".254"</f>
        <v>10.11.8.254</v>
      </c>
      <c r="F487" s="112" t="s">
        <v>3974</v>
      </c>
      <c r="G487" s="112" t="s">
        <v>3978</v>
      </c>
    </row>
    <row r="488" spans="1:7" ht="12" hidden="1" customHeight="1">
      <c r="A488" s="112">
        <f>A487+1</f>
        <v>507</v>
      </c>
      <c r="D488" s="117" t="s">
        <v>4513</v>
      </c>
      <c r="E488" s="117" t="str">
        <f>"10.10."&amp;A488&amp;".254"</f>
        <v>10.10.507.254</v>
      </c>
      <c r="F488" s="112" t="s">
        <v>3974</v>
      </c>
      <c r="G488" s="112" t="s">
        <v>3978</v>
      </c>
    </row>
    <row r="489" spans="1:7" ht="12" hidden="1" customHeight="1">
      <c r="A489" s="112">
        <v>507</v>
      </c>
      <c r="D489" s="117" t="s">
        <v>4514</v>
      </c>
      <c r="E489" s="117" t="str">
        <f>"10.11."&amp;A233&amp;".254"</f>
        <v>10.11.10.254</v>
      </c>
      <c r="F489" s="112" t="s">
        <v>3974</v>
      </c>
      <c r="G489" s="112" t="s">
        <v>3978</v>
      </c>
    </row>
    <row r="490" spans="1:7" ht="12" hidden="1" customHeight="1">
      <c r="A490" s="112">
        <f>A489+1</f>
        <v>508</v>
      </c>
      <c r="D490" s="117" t="s">
        <v>4515</v>
      </c>
      <c r="E490" s="117" t="str">
        <f>"10.10."&amp;A490&amp;".254"</f>
        <v>10.10.508.254</v>
      </c>
      <c r="F490" s="112" t="s">
        <v>3974</v>
      </c>
      <c r="G490" s="112" t="s">
        <v>3978</v>
      </c>
    </row>
    <row r="491" spans="1:7" ht="12" hidden="1" customHeight="1">
      <c r="A491" s="112">
        <v>508</v>
      </c>
      <c r="D491" s="117" t="s">
        <v>4516</v>
      </c>
      <c r="E491" s="117" t="str">
        <f>"10.11."&amp;A235&amp;".254"</f>
        <v>10.11.12.254</v>
      </c>
      <c r="F491" s="112" t="s">
        <v>3974</v>
      </c>
      <c r="G491" s="112" t="s">
        <v>3978</v>
      </c>
    </row>
    <row r="492" spans="1:7" ht="12" hidden="1" customHeight="1">
      <c r="A492" s="112">
        <f>A491+1</f>
        <v>509</v>
      </c>
      <c r="D492" s="117" t="s">
        <v>4517</v>
      </c>
      <c r="E492" s="117" t="str">
        <f>"10.10."&amp;A492&amp;".254"</f>
        <v>10.10.509.254</v>
      </c>
      <c r="F492" s="112" t="s">
        <v>3974</v>
      </c>
      <c r="G492" s="112" t="s">
        <v>3978</v>
      </c>
    </row>
    <row r="493" spans="1:7" ht="12" hidden="1" customHeight="1">
      <c r="A493" s="112">
        <v>509</v>
      </c>
      <c r="D493" s="117" t="s">
        <v>4518</v>
      </c>
      <c r="E493" s="117" t="str">
        <f>"10.11."&amp;A237&amp;".254"</f>
        <v>10.11.384.254</v>
      </c>
      <c r="F493" s="112" t="s">
        <v>3974</v>
      </c>
      <c r="G493" s="112" t="s">
        <v>3978</v>
      </c>
    </row>
    <row r="494" spans="1:7" ht="12" hidden="1" customHeight="1">
      <c r="A494" s="112">
        <f>A493+1</f>
        <v>510</v>
      </c>
      <c r="D494" s="117" t="s">
        <v>4519</v>
      </c>
      <c r="E494" s="117" t="str">
        <f>"10.10."&amp;A494&amp;".254"</f>
        <v>10.10.510.254</v>
      </c>
      <c r="F494" s="112" t="s">
        <v>3974</v>
      </c>
      <c r="G494" s="112" t="s">
        <v>3978</v>
      </c>
    </row>
    <row r="495" spans="1:7" ht="12" hidden="1" customHeight="1">
      <c r="A495" s="112">
        <v>510</v>
      </c>
      <c r="D495" s="117" t="s">
        <v>4520</v>
      </c>
      <c r="E495" s="117" t="str">
        <f>"10.11."&amp;A239&amp;".254"</f>
        <v>10.11.384.254</v>
      </c>
      <c r="F495" s="112" t="s">
        <v>3974</v>
      </c>
      <c r="G495" s="112" t="s">
        <v>3978</v>
      </c>
    </row>
    <row r="496" spans="1:7" ht="12" hidden="1" customHeight="1">
      <c r="A496" s="112">
        <f t="shared" ref="A496:A511" si="17">A495+1</f>
        <v>511</v>
      </c>
      <c r="D496" s="117" t="s">
        <v>4521</v>
      </c>
      <c r="E496" s="117" t="str">
        <f t="shared" ref="E496:E511" si="18">"10.10."&amp;A496&amp;".254"</f>
        <v>10.10.511.254</v>
      </c>
      <c r="F496" s="112" t="s">
        <v>3974</v>
      </c>
      <c r="G496" s="112" t="s">
        <v>3978</v>
      </c>
    </row>
    <row r="497" spans="1:7" ht="12" hidden="1" customHeight="1">
      <c r="A497" s="112">
        <f t="shared" si="17"/>
        <v>512</v>
      </c>
      <c r="D497" s="117" t="s">
        <v>4522</v>
      </c>
      <c r="E497" s="117" t="str">
        <f t="shared" si="18"/>
        <v>10.10.512.254</v>
      </c>
      <c r="F497" s="112" t="s">
        <v>3974</v>
      </c>
      <c r="G497" s="112" t="s">
        <v>3978</v>
      </c>
    </row>
    <row r="498" spans="1:7" ht="12" hidden="1" customHeight="1">
      <c r="A498" s="112">
        <f t="shared" si="17"/>
        <v>513</v>
      </c>
      <c r="D498" s="117" t="s">
        <v>4523</v>
      </c>
      <c r="E498" s="117" t="str">
        <f t="shared" si="18"/>
        <v>10.10.513.254</v>
      </c>
      <c r="F498" s="112" t="s">
        <v>3974</v>
      </c>
      <c r="G498" s="112" t="s">
        <v>3978</v>
      </c>
    </row>
    <row r="499" spans="1:7" ht="12" hidden="1" customHeight="1">
      <c r="A499" s="112">
        <f t="shared" si="17"/>
        <v>514</v>
      </c>
      <c r="D499" s="117" t="s">
        <v>4524</v>
      </c>
      <c r="E499" s="117" t="str">
        <f t="shared" si="18"/>
        <v>10.10.514.254</v>
      </c>
      <c r="F499" s="112" t="s">
        <v>3974</v>
      </c>
      <c r="G499" s="112" t="s">
        <v>3978</v>
      </c>
    </row>
    <row r="500" spans="1:7" ht="12" hidden="1" customHeight="1">
      <c r="A500" s="112">
        <f t="shared" si="17"/>
        <v>515</v>
      </c>
      <c r="D500" s="117" t="s">
        <v>4525</v>
      </c>
      <c r="E500" s="117" t="str">
        <f t="shared" si="18"/>
        <v>10.10.515.254</v>
      </c>
      <c r="F500" s="112" t="s">
        <v>3974</v>
      </c>
      <c r="G500" s="112" t="s">
        <v>3978</v>
      </c>
    </row>
    <row r="501" spans="1:7" ht="12" hidden="1" customHeight="1">
      <c r="A501" s="112">
        <f t="shared" si="17"/>
        <v>516</v>
      </c>
      <c r="D501" s="117" t="s">
        <v>4526</v>
      </c>
      <c r="E501" s="117" t="str">
        <f t="shared" si="18"/>
        <v>10.10.516.254</v>
      </c>
      <c r="F501" s="112" t="s">
        <v>3974</v>
      </c>
      <c r="G501" s="112" t="s">
        <v>3978</v>
      </c>
    </row>
    <row r="502" spans="1:7" ht="12" hidden="1" customHeight="1">
      <c r="A502" s="112">
        <f t="shared" si="17"/>
        <v>517</v>
      </c>
      <c r="D502" s="117" t="s">
        <v>4527</v>
      </c>
      <c r="E502" s="117" t="str">
        <f t="shared" si="18"/>
        <v>10.10.517.254</v>
      </c>
      <c r="F502" s="112" t="s">
        <v>3974</v>
      </c>
      <c r="G502" s="112" t="s">
        <v>3978</v>
      </c>
    </row>
    <row r="503" spans="1:7" ht="12" hidden="1" customHeight="1">
      <c r="A503" s="112">
        <f t="shared" si="17"/>
        <v>518</v>
      </c>
      <c r="D503" s="117" t="s">
        <v>4528</v>
      </c>
      <c r="E503" s="117" t="str">
        <f t="shared" si="18"/>
        <v>10.10.518.254</v>
      </c>
      <c r="F503" s="112" t="s">
        <v>3974</v>
      </c>
      <c r="G503" s="112" t="s">
        <v>3978</v>
      </c>
    </row>
    <row r="504" spans="1:7" ht="12" hidden="1" customHeight="1">
      <c r="A504" s="112">
        <f t="shared" si="17"/>
        <v>519</v>
      </c>
      <c r="D504" s="117" t="s">
        <v>4529</v>
      </c>
      <c r="E504" s="117" t="str">
        <f t="shared" si="18"/>
        <v>10.10.519.254</v>
      </c>
      <c r="F504" s="112" t="s">
        <v>3974</v>
      </c>
      <c r="G504" s="112" t="s">
        <v>3978</v>
      </c>
    </row>
    <row r="505" spans="1:7" ht="12" hidden="1" customHeight="1">
      <c r="A505" s="112">
        <f t="shared" si="17"/>
        <v>520</v>
      </c>
      <c r="D505" s="117" t="s">
        <v>4530</v>
      </c>
      <c r="E505" s="117" t="str">
        <f t="shared" si="18"/>
        <v>10.10.520.254</v>
      </c>
      <c r="F505" s="112" t="s">
        <v>3974</v>
      </c>
      <c r="G505" s="112" t="s">
        <v>3978</v>
      </c>
    </row>
    <row r="506" spans="1:7" ht="12" hidden="1" customHeight="1">
      <c r="A506" s="112">
        <f t="shared" si="17"/>
        <v>521</v>
      </c>
      <c r="D506" s="117" t="s">
        <v>4531</v>
      </c>
      <c r="E506" s="117" t="str">
        <f t="shared" si="18"/>
        <v>10.10.521.254</v>
      </c>
      <c r="F506" s="112" t="s">
        <v>3974</v>
      </c>
      <c r="G506" s="112" t="s">
        <v>3978</v>
      </c>
    </row>
    <row r="507" spans="1:7" ht="12" hidden="1" customHeight="1">
      <c r="A507" s="112">
        <f t="shared" si="17"/>
        <v>522</v>
      </c>
      <c r="D507" s="117" t="s">
        <v>4532</v>
      </c>
      <c r="E507" s="117" t="str">
        <f t="shared" si="18"/>
        <v>10.10.522.254</v>
      </c>
      <c r="F507" s="112" t="s">
        <v>3974</v>
      </c>
      <c r="G507" s="112" t="s">
        <v>3978</v>
      </c>
    </row>
    <row r="508" spans="1:7" ht="12" hidden="1" customHeight="1">
      <c r="A508" s="112">
        <f t="shared" si="17"/>
        <v>523</v>
      </c>
      <c r="D508" s="117" t="s">
        <v>4533</v>
      </c>
      <c r="E508" s="117" t="str">
        <f t="shared" si="18"/>
        <v>10.10.523.254</v>
      </c>
      <c r="F508" s="112" t="s">
        <v>3974</v>
      </c>
      <c r="G508" s="112" t="s">
        <v>3978</v>
      </c>
    </row>
    <row r="509" spans="1:7" ht="12" hidden="1" customHeight="1">
      <c r="A509" s="112">
        <f t="shared" si="17"/>
        <v>524</v>
      </c>
      <c r="D509" s="117" t="s">
        <v>4534</v>
      </c>
      <c r="E509" s="117" t="str">
        <f t="shared" si="18"/>
        <v>10.10.524.254</v>
      </c>
      <c r="F509" s="112" t="s">
        <v>3974</v>
      </c>
      <c r="G509" s="112" t="s">
        <v>3978</v>
      </c>
    </row>
    <row r="510" spans="1:7" ht="12" hidden="1" customHeight="1">
      <c r="A510" s="112">
        <f t="shared" si="17"/>
        <v>525</v>
      </c>
      <c r="D510" s="117" t="s">
        <v>4535</v>
      </c>
      <c r="E510" s="117" t="str">
        <f t="shared" si="18"/>
        <v>10.10.525.254</v>
      </c>
      <c r="F510" s="112" t="s">
        <v>3974</v>
      </c>
      <c r="G510" s="112" t="s">
        <v>3978</v>
      </c>
    </row>
    <row r="511" spans="1:7" ht="12" hidden="1" customHeight="1">
      <c r="A511" s="112">
        <f t="shared" si="17"/>
        <v>526</v>
      </c>
      <c r="D511" s="117" t="s">
        <v>4536</v>
      </c>
      <c r="E511" s="117" t="str">
        <f t="shared" si="18"/>
        <v>10.10.526.254</v>
      </c>
      <c r="F511" s="112" t="s">
        <v>3974</v>
      </c>
      <c r="G511" s="112" t="s">
        <v>3978</v>
      </c>
    </row>
    <row r="512" spans="1:7" ht="12" hidden="1" customHeight="1">
      <c r="D512" s="117" t="s">
        <v>4537</v>
      </c>
      <c r="E512" s="117" t="str">
        <f>"10.11."&amp;A256&amp;".254"</f>
        <v>10.11.391.254</v>
      </c>
      <c r="F512" s="112" t="s">
        <v>3974</v>
      </c>
      <c r="G512" s="112" t="s">
        <v>3978</v>
      </c>
    </row>
  </sheetData>
  <autoFilter ref="A1:J512" xr:uid="{1AA19EA9-FA97-4B95-A6F5-770BC05D06EF}">
    <filterColumn colId="2">
      <customFilters>
        <customFilter operator="notEqual" val=" "/>
      </customFilters>
    </filterColumn>
  </autoFilter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4"/>
  <sheetViews>
    <sheetView showGridLines="0" workbookViewId="0"/>
  </sheetViews>
  <sheetFormatPr defaultColWidth="12.54296875" defaultRowHeight="15.75" customHeight="1"/>
  <sheetData>
    <row r="1" spans="1:6" ht="15.75" customHeight="1">
      <c r="A1" s="256" t="s">
        <v>4538</v>
      </c>
    </row>
    <row r="2" spans="1:6" ht="15.75" customHeight="1">
      <c r="A2" s="261">
        <v>287</v>
      </c>
    </row>
    <row r="3" spans="1:6" ht="15.75" customHeight="1">
      <c r="C3" s="20">
        <v>43</v>
      </c>
      <c r="E3" s="20" t="s">
        <v>4539</v>
      </c>
      <c r="F3" s="20" t="s">
        <v>4540</v>
      </c>
    </row>
    <row r="6" spans="1:6" ht="15.75" customHeight="1">
      <c r="C6" s="20">
        <v>47</v>
      </c>
      <c r="E6" s="20" t="s">
        <v>4539</v>
      </c>
      <c r="F6" s="20" t="s">
        <v>4540</v>
      </c>
    </row>
    <row r="9" spans="1:6" ht="15.75" customHeight="1">
      <c r="C9" s="20">
        <v>6</v>
      </c>
      <c r="E9" s="20" t="s">
        <v>4541</v>
      </c>
      <c r="F9" s="20" t="s">
        <v>4542</v>
      </c>
    </row>
    <row r="11" spans="1:6" ht="15.75" customHeight="1">
      <c r="C11" s="20">
        <v>17</v>
      </c>
      <c r="E11" s="20" t="s">
        <v>4541</v>
      </c>
      <c r="F11" s="20" t="s">
        <v>4543</v>
      </c>
    </row>
    <row r="14" spans="1:6" ht="15.75" customHeight="1">
      <c r="C14" s="20">
        <v>15</v>
      </c>
      <c r="E14" s="20" t="s">
        <v>4541</v>
      </c>
      <c r="F14" s="20" t="s">
        <v>4543</v>
      </c>
    </row>
    <row r="17" spans="3:6" ht="15.75" customHeight="1">
      <c r="C17" s="20">
        <v>16</v>
      </c>
      <c r="E17" s="20" t="s">
        <v>4541</v>
      </c>
      <c r="F17" s="20" t="s">
        <v>4543</v>
      </c>
    </row>
    <row r="20" spans="3:6" ht="15.75" customHeight="1">
      <c r="C20" s="20">
        <v>17</v>
      </c>
      <c r="E20" s="20" t="s">
        <v>4541</v>
      </c>
      <c r="F20" s="20" t="s">
        <v>4543</v>
      </c>
    </row>
    <row r="23" spans="3:6" ht="15.75" customHeight="1">
      <c r="C23" s="20">
        <v>2</v>
      </c>
    </row>
    <row r="24" spans="3:6" ht="12.5"/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0000"/>
    <outlinePr summaryBelow="0" summaryRight="0"/>
  </sheetPr>
  <dimension ref="A1:E16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4296875" defaultRowHeight="15.75" customHeight="1"/>
  <cols>
    <col min="1" max="1" width="2" customWidth="1"/>
    <col min="2" max="2" width="10.453125" customWidth="1"/>
    <col min="3" max="3" width="27.54296875" customWidth="1"/>
  </cols>
  <sheetData>
    <row r="1" spans="1:5" ht="15.75" customHeight="1">
      <c r="A1" s="59"/>
      <c r="B1" s="26" t="s">
        <v>4544</v>
      </c>
      <c r="C1" s="27" t="s">
        <v>4545</v>
      </c>
      <c r="D1" s="29" t="s">
        <v>4546</v>
      </c>
      <c r="E1" s="60" t="s">
        <v>4547</v>
      </c>
    </row>
    <row r="2" spans="1:5" ht="15.75" customHeight="1">
      <c r="A2" s="32"/>
      <c r="B2" s="33" t="s">
        <v>90</v>
      </c>
      <c r="C2" s="34" t="s">
        <v>4548</v>
      </c>
      <c r="D2" s="61" t="s">
        <v>77</v>
      </c>
      <c r="E2" s="62">
        <v>45092</v>
      </c>
    </row>
    <row r="3" spans="1:5" ht="15.75" customHeight="1">
      <c r="A3" s="32"/>
      <c r="B3" s="40" t="s">
        <v>91</v>
      </c>
      <c r="C3" s="43" t="s">
        <v>4548</v>
      </c>
      <c r="D3" s="63" t="s">
        <v>77</v>
      </c>
      <c r="E3" s="62">
        <v>45092</v>
      </c>
    </row>
    <row r="4" spans="1:5" ht="15.75" customHeight="1">
      <c r="A4" s="32"/>
      <c r="B4" s="40" t="s">
        <v>98</v>
      </c>
      <c r="C4" s="43" t="s">
        <v>4548</v>
      </c>
      <c r="D4" s="63" t="s">
        <v>77</v>
      </c>
      <c r="E4" s="62">
        <v>45092</v>
      </c>
    </row>
    <row r="5" spans="1:5" ht="15.75" customHeight="1">
      <c r="A5" s="32"/>
      <c r="B5" s="40" t="s">
        <v>99</v>
      </c>
      <c r="C5" s="43" t="s">
        <v>4548</v>
      </c>
      <c r="D5" s="63" t="s">
        <v>77</v>
      </c>
      <c r="E5" s="62">
        <v>45092</v>
      </c>
    </row>
    <row r="6" spans="1:5" ht="15.75" customHeight="1">
      <c r="A6" s="32"/>
      <c r="B6" s="40" t="s">
        <v>102</v>
      </c>
      <c r="C6" s="43" t="s">
        <v>4548</v>
      </c>
      <c r="D6" s="63" t="s">
        <v>77</v>
      </c>
      <c r="E6" s="62">
        <v>45092</v>
      </c>
    </row>
    <row r="7" spans="1:5" ht="15.75" customHeight="1">
      <c r="A7" s="32"/>
      <c r="B7" s="40" t="s">
        <v>104</v>
      </c>
      <c r="C7" s="43" t="s">
        <v>4548</v>
      </c>
      <c r="D7" s="63" t="s">
        <v>77</v>
      </c>
      <c r="E7" s="62">
        <v>45092</v>
      </c>
    </row>
    <row r="8" spans="1:5" ht="15.75" customHeight="1">
      <c r="A8" s="32"/>
      <c r="B8" s="40" t="s">
        <v>110</v>
      </c>
      <c r="C8" s="43"/>
      <c r="D8" s="63" t="s">
        <v>77</v>
      </c>
      <c r="E8" s="62">
        <v>45092</v>
      </c>
    </row>
    <row r="9" spans="1:5" ht="15.75" customHeight="1">
      <c r="A9" s="32"/>
      <c r="B9" s="40" t="s">
        <v>112</v>
      </c>
      <c r="C9" s="43" t="s">
        <v>4548</v>
      </c>
      <c r="D9" s="63" t="s">
        <v>77</v>
      </c>
      <c r="E9" s="62">
        <v>45092</v>
      </c>
    </row>
    <row r="10" spans="1:5" ht="15.75" customHeight="1">
      <c r="A10" s="32"/>
      <c r="B10" s="40" t="s">
        <v>118</v>
      </c>
      <c r="C10" s="43"/>
      <c r="D10" s="63" t="s">
        <v>77</v>
      </c>
      <c r="E10" s="62">
        <v>45092</v>
      </c>
    </row>
    <row r="11" spans="1:5" ht="15.75" customHeight="1">
      <c r="A11" s="32"/>
      <c r="B11" s="40" t="s">
        <v>120</v>
      </c>
      <c r="C11" s="43"/>
      <c r="D11" s="63" t="s">
        <v>77</v>
      </c>
      <c r="E11" s="62">
        <v>45092</v>
      </c>
    </row>
    <row r="12" spans="1:5" ht="15.75" customHeight="1">
      <c r="A12" s="32"/>
      <c r="B12" s="40" t="s">
        <v>122</v>
      </c>
      <c r="C12" s="43" t="s">
        <v>4549</v>
      </c>
      <c r="D12" s="63" t="s">
        <v>77</v>
      </c>
      <c r="E12" s="62">
        <v>45092</v>
      </c>
    </row>
    <row r="13" spans="1:5" ht="15.75" customHeight="1">
      <c r="A13" s="32"/>
      <c r="B13" s="40" t="s">
        <v>123</v>
      </c>
      <c r="C13" s="43" t="s">
        <v>4550</v>
      </c>
      <c r="D13" s="63" t="s">
        <v>77</v>
      </c>
      <c r="E13" s="62">
        <v>45092</v>
      </c>
    </row>
    <row r="14" spans="1:5" ht="15.75" customHeight="1">
      <c r="A14" s="32"/>
      <c r="B14" s="40" t="s">
        <v>328</v>
      </c>
      <c r="C14" s="43" t="s">
        <v>4548</v>
      </c>
      <c r="D14" s="63" t="s">
        <v>93</v>
      </c>
      <c r="E14" s="62">
        <v>45092</v>
      </c>
    </row>
    <row r="15" spans="1:5" ht="13">
      <c r="A15" s="32"/>
      <c r="B15" s="40" t="s">
        <v>346</v>
      </c>
      <c r="C15" s="43" t="s">
        <v>4548</v>
      </c>
      <c r="D15" s="63" t="s">
        <v>93</v>
      </c>
      <c r="E15" s="64">
        <v>45092</v>
      </c>
    </row>
    <row r="16" spans="1:5" ht="13">
      <c r="A16" s="32"/>
      <c r="B16" s="40" t="s">
        <v>348</v>
      </c>
      <c r="C16" s="43" t="s">
        <v>4548</v>
      </c>
      <c r="D16" s="63" t="s">
        <v>93</v>
      </c>
      <c r="E16" s="65">
        <v>45092</v>
      </c>
    </row>
    <row r="17" spans="1:5" ht="13">
      <c r="A17" s="32"/>
      <c r="B17" s="40" t="s">
        <v>349</v>
      </c>
      <c r="C17" s="43" t="s">
        <v>4548</v>
      </c>
      <c r="D17" s="63" t="s">
        <v>93</v>
      </c>
      <c r="E17" s="65">
        <v>45092</v>
      </c>
    </row>
    <row r="18" spans="1:5" ht="13">
      <c r="A18" s="32"/>
      <c r="B18" s="40" t="s">
        <v>351</v>
      </c>
      <c r="C18" s="43" t="s">
        <v>4548</v>
      </c>
      <c r="D18" s="63" t="s">
        <v>93</v>
      </c>
      <c r="E18" s="65">
        <v>45092</v>
      </c>
    </row>
    <row r="19" spans="1:5" ht="13">
      <c r="A19" s="32"/>
      <c r="B19" s="40" t="s">
        <v>352</v>
      </c>
      <c r="C19" s="43" t="s">
        <v>4548</v>
      </c>
      <c r="D19" s="63" t="s">
        <v>93</v>
      </c>
      <c r="E19" s="65">
        <v>45092</v>
      </c>
    </row>
    <row r="20" spans="1:5" ht="13">
      <c r="A20" s="32"/>
      <c r="B20" s="40" t="s">
        <v>355</v>
      </c>
      <c r="C20" s="43" t="s">
        <v>4548</v>
      </c>
      <c r="D20" s="63" t="s">
        <v>93</v>
      </c>
      <c r="E20" s="65">
        <v>45092</v>
      </c>
    </row>
    <row r="21" spans="1:5" ht="13">
      <c r="A21" s="32"/>
      <c r="B21" s="40" t="s">
        <v>365</v>
      </c>
      <c r="C21" s="43" t="s">
        <v>4551</v>
      </c>
      <c r="D21" s="63" t="s">
        <v>93</v>
      </c>
      <c r="E21" s="65">
        <v>45092</v>
      </c>
    </row>
    <row r="22" spans="1:5" ht="13">
      <c r="A22" s="32"/>
      <c r="B22" s="40" t="s">
        <v>367</v>
      </c>
      <c r="C22" s="43"/>
      <c r="D22" s="63" t="s">
        <v>93</v>
      </c>
      <c r="E22" s="65">
        <v>45092</v>
      </c>
    </row>
    <row r="23" spans="1:5" ht="13">
      <c r="A23" s="45"/>
      <c r="B23" s="40" t="s">
        <v>368</v>
      </c>
      <c r="C23" s="43"/>
      <c r="D23" s="63" t="s">
        <v>93</v>
      </c>
      <c r="E23" s="65">
        <v>45092</v>
      </c>
    </row>
    <row r="24" spans="1:5" ht="13">
      <c r="A24" s="45"/>
      <c r="B24" s="40" t="s">
        <v>370</v>
      </c>
      <c r="C24" s="43" t="s">
        <v>4552</v>
      </c>
      <c r="D24" s="63" t="s">
        <v>93</v>
      </c>
      <c r="E24" s="65">
        <v>45092</v>
      </c>
    </row>
    <row r="25" spans="1:5" ht="13">
      <c r="A25" s="45"/>
      <c r="B25" s="40" t="s">
        <v>371</v>
      </c>
      <c r="C25" s="43"/>
      <c r="D25" s="63" t="s">
        <v>93</v>
      </c>
      <c r="E25" s="65">
        <v>45092</v>
      </c>
    </row>
    <row r="26" spans="1:5" ht="13">
      <c r="A26" s="45"/>
      <c r="B26" s="40" t="s">
        <v>373</v>
      </c>
      <c r="C26" s="43"/>
      <c r="D26" s="63" t="s">
        <v>93</v>
      </c>
      <c r="E26" s="65">
        <v>45092</v>
      </c>
    </row>
    <row r="27" spans="1:5" ht="13">
      <c r="A27" s="45"/>
      <c r="B27" s="40" t="s">
        <v>374</v>
      </c>
      <c r="C27" s="43"/>
      <c r="D27" s="63" t="s">
        <v>93</v>
      </c>
      <c r="E27" s="65">
        <v>45092</v>
      </c>
    </row>
    <row r="28" spans="1:5" ht="13">
      <c r="A28" s="45"/>
      <c r="B28" s="40" t="s">
        <v>377</v>
      </c>
      <c r="C28" s="43"/>
      <c r="D28" s="63" t="s">
        <v>93</v>
      </c>
      <c r="E28" s="64">
        <v>45092</v>
      </c>
    </row>
    <row r="29" spans="1:5" ht="13">
      <c r="A29" s="45"/>
      <c r="B29" s="40" t="s">
        <v>308</v>
      </c>
      <c r="C29" s="43" t="s">
        <v>4553</v>
      </c>
      <c r="D29" s="63" t="s">
        <v>216</v>
      </c>
      <c r="E29" s="65">
        <v>45092</v>
      </c>
    </row>
    <row r="30" spans="1:5" ht="13">
      <c r="A30" s="45"/>
      <c r="B30" s="40" t="s">
        <v>330</v>
      </c>
      <c r="C30" s="43" t="s">
        <v>4548</v>
      </c>
      <c r="D30" s="63" t="s">
        <v>216</v>
      </c>
      <c r="E30" s="65">
        <v>45092</v>
      </c>
    </row>
    <row r="31" spans="1:5" ht="13">
      <c r="A31" s="45"/>
      <c r="B31" s="40" t="s">
        <v>331</v>
      </c>
      <c r="C31" s="43" t="s">
        <v>4548</v>
      </c>
      <c r="D31" s="63" t="s">
        <v>216</v>
      </c>
      <c r="E31" s="65">
        <v>45092</v>
      </c>
    </row>
    <row r="32" spans="1:5" ht="13">
      <c r="A32" s="45"/>
      <c r="B32" s="40" t="s">
        <v>333</v>
      </c>
      <c r="C32" s="43" t="s">
        <v>4548</v>
      </c>
      <c r="D32" s="63" t="s">
        <v>216</v>
      </c>
      <c r="E32" s="65">
        <v>45092</v>
      </c>
    </row>
    <row r="33" spans="1:5" ht="13">
      <c r="A33" s="45"/>
      <c r="B33" s="40" t="s">
        <v>334</v>
      </c>
      <c r="C33" s="43" t="s">
        <v>4548</v>
      </c>
      <c r="D33" s="63" t="s">
        <v>216</v>
      </c>
      <c r="E33" s="65">
        <v>45092</v>
      </c>
    </row>
    <row r="34" spans="1:5" ht="13">
      <c r="A34" s="45"/>
      <c r="B34" s="40" t="s">
        <v>336</v>
      </c>
      <c r="C34" s="43"/>
      <c r="D34" s="63" t="s">
        <v>216</v>
      </c>
      <c r="E34" s="65">
        <v>45092</v>
      </c>
    </row>
    <row r="35" spans="1:5" ht="13">
      <c r="A35" s="45"/>
      <c r="B35" s="40" t="s">
        <v>337</v>
      </c>
      <c r="C35" s="43" t="s">
        <v>4549</v>
      </c>
      <c r="D35" s="63" t="s">
        <v>216</v>
      </c>
      <c r="E35" s="65">
        <v>45092</v>
      </c>
    </row>
    <row r="36" spans="1:5" ht="13">
      <c r="A36" s="45"/>
      <c r="B36" s="40" t="s">
        <v>339</v>
      </c>
      <c r="C36" s="43" t="s">
        <v>4549</v>
      </c>
      <c r="D36" s="63" t="s">
        <v>216</v>
      </c>
      <c r="E36" s="65">
        <v>45092</v>
      </c>
    </row>
    <row r="37" spans="1:5" ht="13">
      <c r="A37" s="45"/>
      <c r="B37" s="40" t="s">
        <v>340</v>
      </c>
      <c r="C37" s="43"/>
      <c r="D37" s="63" t="s">
        <v>216</v>
      </c>
      <c r="E37" s="65">
        <v>45092</v>
      </c>
    </row>
    <row r="38" spans="1:5" ht="13">
      <c r="A38" s="45"/>
      <c r="B38" s="40" t="s">
        <v>342</v>
      </c>
      <c r="C38" s="43"/>
      <c r="D38" s="63" t="s">
        <v>216</v>
      </c>
      <c r="E38" s="65">
        <v>45092</v>
      </c>
    </row>
    <row r="39" spans="1:5" ht="13">
      <c r="A39" s="45"/>
      <c r="B39" s="40" t="s">
        <v>356</v>
      </c>
      <c r="C39" s="43" t="s">
        <v>4549</v>
      </c>
      <c r="D39" s="63" t="s">
        <v>216</v>
      </c>
      <c r="E39" s="65">
        <v>45092</v>
      </c>
    </row>
    <row r="40" spans="1:5" ht="13">
      <c r="A40" s="45"/>
      <c r="B40" s="40" t="s">
        <v>358</v>
      </c>
      <c r="C40" s="43" t="s">
        <v>4549</v>
      </c>
      <c r="D40" s="63" t="s">
        <v>216</v>
      </c>
      <c r="E40" s="65">
        <v>45092</v>
      </c>
    </row>
    <row r="41" spans="1:5" ht="13">
      <c r="A41" s="45"/>
      <c r="B41" s="40" t="s">
        <v>359</v>
      </c>
      <c r="C41" s="43" t="s">
        <v>4549</v>
      </c>
      <c r="D41" s="63" t="s">
        <v>216</v>
      </c>
      <c r="E41" s="62">
        <v>45092</v>
      </c>
    </row>
    <row r="42" spans="1:5" ht="13">
      <c r="A42" s="45"/>
      <c r="B42" s="40" t="s">
        <v>361</v>
      </c>
      <c r="C42" s="43"/>
      <c r="D42" s="63" t="s">
        <v>216</v>
      </c>
      <c r="E42" s="62">
        <v>45092</v>
      </c>
    </row>
    <row r="43" spans="1:5" ht="13">
      <c r="A43" s="45"/>
      <c r="B43" s="40" t="s">
        <v>362</v>
      </c>
      <c r="C43" s="43"/>
      <c r="D43" s="63" t="s">
        <v>216</v>
      </c>
      <c r="E43" s="62">
        <v>45092</v>
      </c>
    </row>
    <row r="44" spans="1:5" ht="13">
      <c r="A44" s="45"/>
      <c r="B44" s="40" t="s">
        <v>364</v>
      </c>
      <c r="C44" s="43"/>
      <c r="D44" s="63" t="s">
        <v>216</v>
      </c>
      <c r="E44" s="62">
        <v>45092</v>
      </c>
    </row>
    <row r="45" spans="1:5" ht="13">
      <c r="A45" s="45"/>
      <c r="B45" s="40" t="s">
        <v>243</v>
      </c>
      <c r="C45" s="43"/>
      <c r="D45" s="63" t="s">
        <v>248</v>
      </c>
      <c r="E45" s="62">
        <v>45091</v>
      </c>
    </row>
    <row r="46" spans="1:5" ht="13">
      <c r="A46" s="45"/>
      <c r="B46" s="40" t="s">
        <v>267</v>
      </c>
      <c r="C46" s="43" t="s">
        <v>4553</v>
      </c>
      <c r="D46" s="63" t="s">
        <v>248</v>
      </c>
      <c r="E46" s="62">
        <v>45091</v>
      </c>
    </row>
    <row r="47" spans="1:5" ht="13">
      <c r="A47" s="45"/>
      <c r="B47" s="40" t="s">
        <v>291</v>
      </c>
      <c r="C47" s="43" t="s">
        <v>4553</v>
      </c>
      <c r="D47" s="63" t="s">
        <v>248</v>
      </c>
      <c r="E47" s="62">
        <v>45091</v>
      </c>
    </row>
    <row r="48" spans="1:5" ht="13">
      <c r="A48" s="45"/>
      <c r="B48" s="40" t="s">
        <v>310</v>
      </c>
      <c r="C48" s="43" t="s">
        <v>4553</v>
      </c>
      <c r="D48" s="63" t="s">
        <v>248</v>
      </c>
      <c r="E48" s="62">
        <v>45091</v>
      </c>
    </row>
    <row r="49" spans="1:5" ht="13">
      <c r="A49" s="45"/>
      <c r="B49" s="40" t="s">
        <v>311</v>
      </c>
      <c r="C49" s="43" t="s">
        <v>4549</v>
      </c>
      <c r="D49" s="63" t="s">
        <v>248</v>
      </c>
      <c r="E49" s="62">
        <v>45091</v>
      </c>
    </row>
    <row r="50" spans="1:5" ht="13">
      <c r="A50" s="45"/>
      <c r="B50" s="40" t="s">
        <v>313</v>
      </c>
      <c r="C50" s="43" t="s">
        <v>4549</v>
      </c>
      <c r="D50" s="63" t="s">
        <v>248</v>
      </c>
      <c r="E50" s="62">
        <v>45091</v>
      </c>
    </row>
    <row r="51" spans="1:5" ht="13">
      <c r="A51" s="45"/>
      <c r="B51" s="40" t="s">
        <v>314</v>
      </c>
      <c r="C51" s="43" t="s">
        <v>4549</v>
      </c>
      <c r="D51" s="63" t="s">
        <v>248</v>
      </c>
      <c r="E51" s="62">
        <v>45091</v>
      </c>
    </row>
    <row r="52" spans="1:5" ht="13">
      <c r="A52" s="45"/>
      <c r="B52" s="40" t="s">
        <v>316</v>
      </c>
      <c r="C52" s="43" t="s">
        <v>4549</v>
      </c>
      <c r="D52" s="63" t="s">
        <v>248</v>
      </c>
      <c r="E52" s="62">
        <v>45091</v>
      </c>
    </row>
    <row r="53" spans="1:5" ht="13">
      <c r="A53" s="45"/>
      <c r="B53" s="40" t="s">
        <v>317</v>
      </c>
      <c r="C53" s="43" t="s">
        <v>4549</v>
      </c>
      <c r="D53" s="63" t="s">
        <v>248</v>
      </c>
      <c r="E53" s="62">
        <v>45091</v>
      </c>
    </row>
    <row r="54" spans="1:5" ht="13">
      <c r="A54" s="45"/>
      <c r="B54" s="40" t="s">
        <v>319</v>
      </c>
      <c r="C54" s="43"/>
      <c r="D54" s="63" t="s">
        <v>248</v>
      </c>
      <c r="E54" s="62">
        <v>45091</v>
      </c>
    </row>
    <row r="55" spans="1:5" ht="13">
      <c r="A55" s="45"/>
      <c r="B55" s="40" t="s">
        <v>320</v>
      </c>
      <c r="C55" s="43"/>
      <c r="D55" s="63" t="s">
        <v>248</v>
      </c>
      <c r="E55" s="62">
        <v>45091</v>
      </c>
    </row>
    <row r="56" spans="1:5" ht="13">
      <c r="A56" s="45"/>
      <c r="B56" s="40" t="s">
        <v>324</v>
      </c>
      <c r="C56" s="43" t="s">
        <v>4549</v>
      </c>
      <c r="D56" s="63" t="s">
        <v>248</v>
      </c>
      <c r="E56" s="62">
        <v>45091</v>
      </c>
    </row>
    <row r="57" spans="1:5" ht="13">
      <c r="A57" s="45"/>
      <c r="B57" s="40" t="s">
        <v>325</v>
      </c>
      <c r="C57" s="43"/>
      <c r="D57" s="63" t="s">
        <v>248</v>
      </c>
      <c r="E57" s="62">
        <v>45091</v>
      </c>
    </row>
    <row r="58" spans="1:5" ht="13">
      <c r="A58" s="45"/>
      <c r="B58" s="40" t="s">
        <v>327</v>
      </c>
      <c r="C58" s="43"/>
      <c r="D58" s="63" t="s">
        <v>248</v>
      </c>
      <c r="E58" s="62">
        <v>45091</v>
      </c>
    </row>
    <row r="59" spans="1:5" ht="13">
      <c r="A59" s="45"/>
      <c r="B59" s="40" t="s">
        <v>343</v>
      </c>
      <c r="C59" s="43"/>
      <c r="D59" s="63" t="s">
        <v>248</v>
      </c>
      <c r="E59" s="62">
        <v>45091</v>
      </c>
    </row>
    <row r="60" spans="1:5" ht="13">
      <c r="A60" s="45"/>
      <c r="B60" s="40" t="s">
        <v>345</v>
      </c>
      <c r="C60" s="43"/>
      <c r="D60" s="63" t="s">
        <v>248</v>
      </c>
      <c r="E60" s="62">
        <v>45091</v>
      </c>
    </row>
    <row r="61" spans="1:5" ht="13">
      <c r="A61" s="45"/>
      <c r="B61" s="40" t="s">
        <v>202</v>
      </c>
      <c r="C61" s="43" t="s">
        <v>4550</v>
      </c>
      <c r="D61" s="63" t="s">
        <v>321</v>
      </c>
      <c r="E61" s="62">
        <v>45090</v>
      </c>
    </row>
    <row r="62" spans="1:5" ht="13">
      <c r="A62" s="45"/>
      <c r="B62" s="40" t="s">
        <v>221</v>
      </c>
      <c r="C62" s="43" t="s">
        <v>4550</v>
      </c>
      <c r="D62" s="63" t="s">
        <v>321</v>
      </c>
      <c r="E62" s="62">
        <v>45090</v>
      </c>
    </row>
    <row r="63" spans="1:5" ht="13">
      <c r="A63" s="45"/>
      <c r="B63" s="40" t="s">
        <v>244</v>
      </c>
      <c r="C63" s="43" t="s">
        <v>4550</v>
      </c>
      <c r="D63" s="63" t="s">
        <v>321</v>
      </c>
      <c r="E63" s="62">
        <v>45090</v>
      </c>
    </row>
    <row r="64" spans="1:5" ht="13">
      <c r="A64" s="45"/>
      <c r="B64" s="40" t="s">
        <v>268</v>
      </c>
      <c r="C64" s="43" t="s">
        <v>4553</v>
      </c>
      <c r="D64" s="63" t="s">
        <v>321</v>
      </c>
      <c r="E64" s="62">
        <v>45090</v>
      </c>
    </row>
    <row r="65" spans="1:5" ht="13">
      <c r="A65" s="45"/>
      <c r="B65" s="40" t="s">
        <v>271</v>
      </c>
      <c r="C65" s="43" t="s">
        <v>4553</v>
      </c>
      <c r="D65" s="63" t="s">
        <v>321</v>
      </c>
      <c r="E65" s="62">
        <v>45090</v>
      </c>
    </row>
    <row r="66" spans="1:5" ht="13">
      <c r="A66" s="45"/>
      <c r="B66" s="40" t="s">
        <v>272</v>
      </c>
      <c r="C66" s="43" t="s">
        <v>4553</v>
      </c>
      <c r="D66" s="63" t="s">
        <v>321</v>
      </c>
      <c r="E66" s="62">
        <v>45090</v>
      </c>
    </row>
    <row r="67" spans="1:5" ht="13">
      <c r="A67" s="45"/>
      <c r="B67" s="40" t="s">
        <v>292</v>
      </c>
      <c r="C67" s="43" t="s">
        <v>4553</v>
      </c>
      <c r="D67" s="63" t="s">
        <v>321</v>
      </c>
      <c r="E67" s="62">
        <v>45090</v>
      </c>
    </row>
    <row r="68" spans="1:5" ht="13">
      <c r="A68" s="45"/>
      <c r="B68" s="40" t="s">
        <v>294</v>
      </c>
      <c r="C68" s="43" t="s">
        <v>4554</v>
      </c>
      <c r="D68" s="63" t="s">
        <v>321</v>
      </c>
      <c r="E68" s="62">
        <v>45090</v>
      </c>
    </row>
    <row r="69" spans="1:5" ht="13">
      <c r="A69" s="45"/>
      <c r="B69" s="40" t="s">
        <v>295</v>
      </c>
      <c r="C69" s="43" t="s">
        <v>4554</v>
      </c>
      <c r="D69" s="63" t="s">
        <v>321</v>
      </c>
      <c r="E69" s="62">
        <v>45090</v>
      </c>
    </row>
    <row r="70" spans="1:5" ht="13">
      <c r="A70" s="45"/>
      <c r="B70" s="40" t="s">
        <v>297</v>
      </c>
      <c r="C70" s="43"/>
      <c r="D70" s="63" t="s">
        <v>321</v>
      </c>
      <c r="E70" s="62">
        <v>45090</v>
      </c>
    </row>
    <row r="71" spans="1:5" ht="13">
      <c r="A71" s="45"/>
      <c r="B71" s="40" t="s">
        <v>298</v>
      </c>
      <c r="C71" s="43" t="s">
        <v>4551</v>
      </c>
      <c r="D71" s="63" t="s">
        <v>321</v>
      </c>
      <c r="E71" s="62">
        <v>45090</v>
      </c>
    </row>
    <row r="72" spans="1:5" ht="13">
      <c r="A72" s="45"/>
      <c r="B72" s="40" t="s">
        <v>300</v>
      </c>
      <c r="C72" s="43" t="s">
        <v>4551</v>
      </c>
      <c r="D72" s="63" t="s">
        <v>321</v>
      </c>
      <c r="E72" s="62">
        <v>45090</v>
      </c>
    </row>
    <row r="73" spans="1:5" ht="13">
      <c r="A73" s="45"/>
      <c r="B73" s="40" t="s">
        <v>301</v>
      </c>
      <c r="C73" s="43" t="s">
        <v>4548</v>
      </c>
      <c r="D73" s="63" t="s">
        <v>321</v>
      </c>
      <c r="E73" s="62">
        <v>45090</v>
      </c>
    </row>
    <row r="74" spans="1:5" ht="13">
      <c r="A74" s="45"/>
      <c r="B74" s="40" t="s">
        <v>303</v>
      </c>
      <c r="C74" s="43" t="s">
        <v>4551</v>
      </c>
      <c r="D74" s="63" t="s">
        <v>321</v>
      </c>
      <c r="E74" s="62">
        <v>45090</v>
      </c>
    </row>
    <row r="75" spans="1:5" ht="13">
      <c r="A75" s="45"/>
      <c r="B75" s="40" t="s">
        <v>304</v>
      </c>
      <c r="C75" s="43" t="s">
        <v>4551</v>
      </c>
      <c r="D75" s="63" t="s">
        <v>321</v>
      </c>
      <c r="E75" s="62">
        <v>45090</v>
      </c>
    </row>
    <row r="76" spans="1:5" ht="13">
      <c r="A76" s="45"/>
      <c r="B76" s="40" t="s">
        <v>307</v>
      </c>
      <c r="C76" s="43" t="s">
        <v>4553</v>
      </c>
      <c r="D76" s="63" t="s">
        <v>321</v>
      </c>
      <c r="E76" s="62">
        <v>45090</v>
      </c>
    </row>
    <row r="77" spans="1:5" ht="13">
      <c r="A77" s="45"/>
      <c r="B77" s="40" t="s">
        <v>246</v>
      </c>
      <c r="C77" s="43" t="s">
        <v>4549</v>
      </c>
      <c r="D77" s="63" t="s">
        <v>386</v>
      </c>
      <c r="E77" s="62">
        <v>45089</v>
      </c>
    </row>
    <row r="78" spans="1:5" ht="13">
      <c r="A78" s="45"/>
      <c r="B78" s="40" t="s">
        <v>247</v>
      </c>
      <c r="C78" s="43" t="s">
        <v>4549</v>
      </c>
      <c r="D78" s="63" t="s">
        <v>386</v>
      </c>
      <c r="E78" s="62">
        <v>45089</v>
      </c>
    </row>
    <row r="79" spans="1:5" ht="13">
      <c r="A79" s="45"/>
      <c r="B79" s="40" t="s">
        <v>252</v>
      </c>
      <c r="C79" s="43" t="s">
        <v>4549</v>
      </c>
      <c r="D79" s="63" t="s">
        <v>386</v>
      </c>
      <c r="E79" s="62">
        <v>45089</v>
      </c>
    </row>
    <row r="80" spans="1:5" ht="13">
      <c r="A80" s="45"/>
      <c r="B80" s="40" t="s">
        <v>253</v>
      </c>
      <c r="C80" s="43" t="s">
        <v>4555</v>
      </c>
      <c r="D80" s="63" t="s">
        <v>386</v>
      </c>
      <c r="E80" s="62">
        <v>45089</v>
      </c>
    </row>
    <row r="81" spans="1:5" ht="13">
      <c r="A81" s="45"/>
      <c r="B81" s="40" t="s">
        <v>256</v>
      </c>
      <c r="C81" s="43" t="s">
        <v>4549</v>
      </c>
      <c r="D81" s="63" t="s">
        <v>386</v>
      </c>
      <c r="E81" s="62">
        <v>45089</v>
      </c>
    </row>
    <row r="82" spans="1:5" ht="13">
      <c r="A82" s="45"/>
      <c r="B82" s="40" t="s">
        <v>257</v>
      </c>
      <c r="C82" s="43" t="s">
        <v>4549</v>
      </c>
      <c r="D82" s="63" t="s">
        <v>386</v>
      </c>
      <c r="E82" s="62">
        <v>45089</v>
      </c>
    </row>
    <row r="83" spans="1:5" ht="13">
      <c r="A83" s="45"/>
      <c r="B83" s="40" t="s">
        <v>260</v>
      </c>
      <c r="C83" s="43" t="s">
        <v>4549</v>
      </c>
      <c r="D83" s="63" t="s">
        <v>386</v>
      </c>
      <c r="E83" s="62">
        <v>45089</v>
      </c>
    </row>
    <row r="84" spans="1:5" ht="13">
      <c r="A84" s="45"/>
      <c r="B84" s="40" t="s">
        <v>261</v>
      </c>
      <c r="C84" s="43"/>
      <c r="D84" s="63" t="s">
        <v>386</v>
      </c>
      <c r="E84" s="62">
        <v>45089</v>
      </c>
    </row>
    <row r="85" spans="1:5" ht="13">
      <c r="A85" s="45"/>
      <c r="B85" s="40" t="s">
        <v>275</v>
      </c>
      <c r="C85" s="43" t="s">
        <v>4549</v>
      </c>
      <c r="D85" s="63" t="s">
        <v>386</v>
      </c>
      <c r="E85" s="62">
        <v>45089</v>
      </c>
    </row>
    <row r="86" spans="1:5" ht="13">
      <c r="A86" s="45"/>
      <c r="B86" s="40" t="s">
        <v>276</v>
      </c>
      <c r="C86" s="43" t="s">
        <v>4550</v>
      </c>
      <c r="D86" s="63" t="s">
        <v>386</v>
      </c>
      <c r="E86" s="62">
        <v>45089</v>
      </c>
    </row>
    <row r="87" spans="1:5" ht="13">
      <c r="A87" s="45"/>
      <c r="B87" s="40" t="s">
        <v>279</v>
      </c>
      <c r="C87" s="43" t="s">
        <v>4550</v>
      </c>
      <c r="D87" s="63" t="s">
        <v>386</v>
      </c>
      <c r="E87" s="62">
        <v>45089</v>
      </c>
    </row>
    <row r="88" spans="1:5" ht="13">
      <c r="A88" s="45"/>
      <c r="B88" s="40" t="s">
        <v>280</v>
      </c>
      <c r="C88" s="43" t="s">
        <v>4550</v>
      </c>
      <c r="D88" s="63" t="s">
        <v>386</v>
      </c>
      <c r="E88" s="62">
        <v>45089</v>
      </c>
    </row>
    <row r="89" spans="1:5" ht="13">
      <c r="A89" s="45"/>
      <c r="B89" s="40" t="s">
        <v>283</v>
      </c>
      <c r="C89" s="43" t="s">
        <v>4549</v>
      </c>
      <c r="D89" s="63" t="s">
        <v>386</v>
      </c>
      <c r="E89" s="62">
        <v>45089</v>
      </c>
    </row>
    <row r="90" spans="1:5" ht="13">
      <c r="A90" s="45"/>
      <c r="B90" s="40" t="s">
        <v>284</v>
      </c>
      <c r="C90" s="43" t="s">
        <v>4550</v>
      </c>
      <c r="D90" s="63" t="s">
        <v>386</v>
      </c>
      <c r="E90" s="62">
        <v>45089</v>
      </c>
    </row>
    <row r="91" spans="1:5" ht="13">
      <c r="A91" s="45"/>
      <c r="B91" s="40" t="s">
        <v>287</v>
      </c>
      <c r="C91" s="43" t="s">
        <v>4550</v>
      </c>
      <c r="D91" s="63" t="s">
        <v>386</v>
      </c>
      <c r="E91" s="62">
        <v>45089</v>
      </c>
    </row>
    <row r="92" spans="1:5" ht="13">
      <c r="A92" s="45"/>
      <c r="B92" s="40" t="s">
        <v>224</v>
      </c>
      <c r="C92" s="43" t="s">
        <v>4549</v>
      </c>
      <c r="D92" s="63" t="s">
        <v>486</v>
      </c>
      <c r="E92" s="62">
        <v>45083</v>
      </c>
    </row>
    <row r="93" spans="1:5" ht="13">
      <c r="A93" s="45"/>
      <c r="B93" s="40" t="s">
        <v>225</v>
      </c>
      <c r="C93" s="43" t="s">
        <v>4549</v>
      </c>
      <c r="D93" s="63" t="s">
        <v>486</v>
      </c>
      <c r="E93" s="62">
        <v>45083</v>
      </c>
    </row>
    <row r="94" spans="1:5" ht="13">
      <c r="A94" s="45"/>
      <c r="B94" s="40" t="s">
        <v>228</v>
      </c>
      <c r="C94" s="43" t="s">
        <v>4548</v>
      </c>
      <c r="D94" s="63" t="s">
        <v>486</v>
      </c>
      <c r="E94" s="62">
        <v>45083</v>
      </c>
    </row>
    <row r="95" spans="1:5" ht="13">
      <c r="A95" s="45"/>
      <c r="B95" s="40" t="s">
        <v>229</v>
      </c>
      <c r="C95" s="43" t="s">
        <v>4548</v>
      </c>
      <c r="D95" s="63" t="s">
        <v>486</v>
      </c>
      <c r="E95" s="62">
        <v>45083</v>
      </c>
    </row>
    <row r="96" spans="1:5" ht="13">
      <c r="A96" s="45"/>
      <c r="B96" s="40" t="s">
        <v>231</v>
      </c>
      <c r="C96" s="43" t="s">
        <v>4548</v>
      </c>
      <c r="D96" s="63" t="s">
        <v>486</v>
      </c>
      <c r="E96" s="62">
        <v>45083</v>
      </c>
    </row>
    <row r="97" spans="1:5" ht="13">
      <c r="A97" s="45"/>
      <c r="B97" s="40" t="s">
        <v>232</v>
      </c>
      <c r="C97" s="43" t="s">
        <v>4549</v>
      </c>
      <c r="D97" s="63" t="s">
        <v>486</v>
      </c>
      <c r="E97" s="62">
        <v>45083</v>
      </c>
    </row>
    <row r="98" spans="1:5" ht="13">
      <c r="A98" s="45"/>
      <c r="B98" s="40" t="s">
        <v>203</v>
      </c>
      <c r="C98" s="43" t="s">
        <v>4548</v>
      </c>
      <c r="D98" s="63" t="s">
        <v>524</v>
      </c>
      <c r="E98" s="62">
        <v>45083</v>
      </c>
    </row>
    <row r="99" spans="1:5" ht="13">
      <c r="A99" s="45"/>
      <c r="B99" s="40" t="s">
        <v>205</v>
      </c>
      <c r="C99" s="43" t="s">
        <v>4553</v>
      </c>
      <c r="D99" s="63" t="s">
        <v>524</v>
      </c>
      <c r="E99" s="62">
        <v>45083</v>
      </c>
    </row>
    <row r="100" spans="1:5" ht="13">
      <c r="A100" s="45"/>
      <c r="B100" s="40" t="s">
        <v>206</v>
      </c>
      <c r="C100" s="43" t="s">
        <v>4553</v>
      </c>
      <c r="D100" s="63" t="s">
        <v>524</v>
      </c>
      <c r="E100" s="62">
        <v>45083</v>
      </c>
    </row>
    <row r="101" spans="1:5" ht="13">
      <c r="A101" s="45"/>
      <c r="B101" s="40" t="s">
        <v>208</v>
      </c>
      <c r="C101" s="43" t="s">
        <v>4549</v>
      </c>
      <c r="D101" s="63" t="s">
        <v>524</v>
      </c>
      <c r="E101" s="62">
        <v>45083</v>
      </c>
    </row>
    <row r="102" spans="1:5" ht="13">
      <c r="A102" s="45"/>
      <c r="B102" s="40" t="s">
        <v>209</v>
      </c>
      <c r="C102" s="43" t="s">
        <v>4549</v>
      </c>
      <c r="D102" s="63" t="s">
        <v>524</v>
      </c>
      <c r="E102" s="62">
        <v>45083</v>
      </c>
    </row>
    <row r="103" spans="1:5" ht="13">
      <c r="A103" s="45"/>
      <c r="B103" s="40" t="s">
        <v>211</v>
      </c>
      <c r="C103" s="43" t="s">
        <v>4549</v>
      </c>
      <c r="D103" s="63" t="s">
        <v>524</v>
      </c>
      <c r="E103" s="62">
        <v>45083</v>
      </c>
    </row>
    <row r="104" spans="1:5" ht="13">
      <c r="A104" s="45"/>
      <c r="B104" s="40" t="s">
        <v>125</v>
      </c>
      <c r="C104" s="43" t="s">
        <v>4550</v>
      </c>
      <c r="D104" s="63" t="s">
        <v>560</v>
      </c>
      <c r="E104" s="62">
        <v>45083</v>
      </c>
    </row>
    <row r="105" spans="1:5" ht="13">
      <c r="A105" s="45"/>
      <c r="B105" s="40" t="s">
        <v>136</v>
      </c>
      <c r="C105" s="43" t="s">
        <v>4550</v>
      </c>
      <c r="D105" s="63" t="s">
        <v>560</v>
      </c>
      <c r="E105" s="62">
        <v>45083</v>
      </c>
    </row>
    <row r="106" spans="1:5" ht="13">
      <c r="A106" s="45"/>
      <c r="B106" s="40" t="s">
        <v>150</v>
      </c>
      <c r="C106" s="43" t="s">
        <v>4548</v>
      </c>
      <c r="D106" s="63" t="s">
        <v>560</v>
      </c>
      <c r="E106" s="62">
        <v>45083</v>
      </c>
    </row>
    <row r="107" spans="1:5" ht="13">
      <c r="A107" s="45"/>
      <c r="B107" s="40" t="s">
        <v>164</v>
      </c>
      <c r="C107" s="43" t="s">
        <v>4549</v>
      </c>
      <c r="D107" s="63" t="s">
        <v>560</v>
      </c>
      <c r="E107" s="62">
        <v>45083</v>
      </c>
    </row>
    <row r="108" spans="1:5" ht="13">
      <c r="A108" s="45"/>
      <c r="B108" s="40" t="s">
        <v>186</v>
      </c>
      <c r="C108" s="43" t="s">
        <v>4548</v>
      </c>
      <c r="D108" s="63" t="s">
        <v>560</v>
      </c>
      <c r="E108" s="62">
        <v>45083</v>
      </c>
    </row>
    <row r="109" spans="1:5" ht="13">
      <c r="A109" s="45"/>
      <c r="B109" s="40" t="s">
        <v>126</v>
      </c>
      <c r="C109" s="43" t="s">
        <v>4550</v>
      </c>
      <c r="D109" s="63" t="s">
        <v>564</v>
      </c>
      <c r="E109" s="62">
        <v>45084</v>
      </c>
    </row>
    <row r="110" spans="1:5" ht="13">
      <c r="A110" s="45"/>
      <c r="B110" s="40" t="s">
        <v>137</v>
      </c>
      <c r="C110" s="43" t="s">
        <v>4550</v>
      </c>
      <c r="D110" s="63" t="s">
        <v>564</v>
      </c>
      <c r="E110" s="62">
        <v>45084</v>
      </c>
    </row>
    <row r="111" spans="1:5" ht="13">
      <c r="A111" s="45"/>
      <c r="B111" s="40" t="s">
        <v>151</v>
      </c>
      <c r="C111" s="43" t="s">
        <v>4549</v>
      </c>
      <c r="D111" s="63" t="s">
        <v>564</v>
      </c>
      <c r="E111" s="62">
        <v>45084</v>
      </c>
    </row>
    <row r="112" spans="1:5" ht="13">
      <c r="A112" s="45"/>
      <c r="B112" s="40" t="s">
        <v>165</v>
      </c>
      <c r="C112" s="43" t="s">
        <v>4549</v>
      </c>
      <c r="D112" s="63" t="s">
        <v>564</v>
      </c>
      <c r="E112" s="62">
        <v>45084</v>
      </c>
    </row>
    <row r="113" spans="1:5" ht="13">
      <c r="A113" s="45"/>
      <c r="B113" s="40" t="s">
        <v>187</v>
      </c>
      <c r="C113" s="43" t="s">
        <v>4549</v>
      </c>
      <c r="D113" s="63" t="s">
        <v>564</v>
      </c>
      <c r="E113" s="62">
        <v>45084</v>
      </c>
    </row>
    <row r="114" spans="1:5" ht="13">
      <c r="A114" s="45"/>
      <c r="B114" s="40" t="s">
        <v>128</v>
      </c>
      <c r="C114" s="43" t="s">
        <v>4550</v>
      </c>
      <c r="D114" s="63" t="s">
        <v>569</v>
      </c>
      <c r="E114" s="62">
        <v>45084</v>
      </c>
    </row>
    <row r="115" spans="1:5" ht="13">
      <c r="A115" s="45"/>
      <c r="B115" s="40" t="s">
        <v>140</v>
      </c>
      <c r="C115" s="43" t="s">
        <v>4550</v>
      </c>
      <c r="D115" s="63" t="s">
        <v>569</v>
      </c>
      <c r="E115" s="62">
        <v>45084</v>
      </c>
    </row>
    <row r="116" spans="1:5" ht="13">
      <c r="A116" s="45"/>
      <c r="B116" s="40" t="s">
        <v>153</v>
      </c>
      <c r="C116" s="43" t="s">
        <v>4549</v>
      </c>
      <c r="D116" s="63" t="s">
        <v>569</v>
      </c>
      <c r="E116" s="62">
        <v>45084</v>
      </c>
    </row>
    <row r="117" spans="1:5" ht="13">
      <c r="A117" s="45"/>
      <c r="B117" s="40" t="s">
        <v>168</v>
      </c>
      <c r="C117" s="43" t="s">
        <v>4553</v>
      </c>
      <c r="D117" s="63" t="s">
        <v>569</v>
      </c>
      <c r="E117" s="62">
        <v>45084</v>
      </c>
    </row>
    <row r="118" spans="1:5" ht="13">
      <c r="A118" s="45"/>
      <c r="B118" s="40" t="s">
        <v>189</v>
      </c>
      <c r="C118" s="43" t="s">
        <v>4553</v>
      </c>
      <c r="D118" s="63" t="s">
        <v>569</v>
      </c>
      <c r="E118" s="62">
        <v>45084</v>
      </c>
    </row>
    <row r="119" spans="1:5" ht="13">
      <c r="A119" s="45"/>
      <c r="B119" s="40" t="s">
        <v>129</v>
      </c>
      <c r="C119" s="43" t="s">
        <v>4548</v>
      </c>
      <c r="D119" s="63" t="s">
        <v>573</v>
      </c>
      <c r="E119" s="62">
        <v>45084</v>
      </c>
    </row>
    <row r="120" spans="1:5" ht="13">
      <c r="A120" s="45"/>
      <c r="B120" s="40" t="s">
        <v>141</v>
      </c>
      <c r="C120" s="43" t="s">
        <v>4550</v>
      </c>
      <c r="D120" s="63" t="s">
        <v>573</v>
      </c>
      <c r="E120" s="62">
        <v>45084</v>
      </c>
    </row>
    <row r="121" spans="1:5" ht="13">
      <c r="A121" s="45"/>
      <c r="B121" s="40" t="s">
        <v>154</v>
      </c>
      <c r="C121" s="43" t="s">
        <v>4549</v>
      </c>
      <c r="D121" s="63" t="s">
        <v>573</v>
      </c>
      <c r="E121" s="62">
        <v>45084</v>
      </c>
    </row>
    <row r="122" spans="1:5" ht="13">
      <c r="A122" s="45"/>
      <c r="B122" s="40" t="s">
        <v>169</v>
      </c>
      <c r="C122" s="43" t="s">
        <v>4553</v>
      </c>
      <c r="D122" s="63" t="s">
        <v>573</v>
      </c>
      <c r="E122" s="62">
        <v>45084</v>
      </c>
    </row>
    <row r="123" spans="1:5" ht="13">
      <c r="A123" s="45"/>
      <c r="B123" s="40" t="s">
        <v>190</v>
      </c>
      <c r="C123" s="43" t="s">
        <v>4549</v>
      </c>
      <c r="D123" s="63" t="s">
        <v>573</v>
      </c>
      <c r="E123" s="62">
        <v>45084</v>
      </c>
    </row>
    <row r="124" spans="1:5" ht="13">
      <c r="A124" s="45"/>
      <c r="B124" s="40" t="s">
        <v>132</v>
      </c>
      <c r="C124" s="43" t="s">
        <v>4550</v>
      </c>
      <c r="D124" s="63" t="s">
        <v>577</v>
      </c>
      <c r="E124" s="62">
        <v>45451</v>
      </c>
    </row>
    <row r="125" spans="1:5" ht="13">
      <c r="A125" s="45"/>
      <c r="B125" s="40" t="s">
        <v>144</v>
      </c>
      <c r="C125" s="43" t="s">
        <v>4550</v>
      </c>
      <c r="D125" s="63" t="s">
        <v>577</v>
      </c>
      <c r="E125" s="62">
        <v>45085</v>
      </c>
    </row>
    <row r="126" spans="1:5" ht="13">
      <c r="A126" s="45"/>
      <c r="B126" s="40" t="s">
        <v>157</v>
      </c>
      <c r="C126" s="43" t="s">
        <v>4549</v>
      </c>
      <c r="D126" s="63" t="s">
        <v>577</v>
      </c>
      <c r="E126" s="62">
        <v>45085</v>
      </c>
    </row>
    <row r="127" spans="1:5" ht="13">
      <c r="A127" s="45"/>
      <c r="B127" s="40" t="s">
        <v>171</v>
      </c>
      <c r="C127" s="43" t="s">
        <v>4550</v>
      </c>
      <c r="D127" s="63" t="s">
        <v>577</v>
      </c>
      <c r="E127" s="62">
        <v>45085</v>
      </c>
    </row>
    <row r="128" spans="1:5" ht="13">
      <c r="A128" s="45"/>
      <c r="B128" s="40" t="s">
        <v>193</v>
      </c>
      <c r="C128" s="43" t="s">
        <v>4548</v>
      </c>
      <c r="D128" s="63" t="s">
        <v>577</v>
      </c>
      <c r="E128" s="62">
        <v>45085</v>
      </c>
    </row>
    <row r="129" spans="1:5" ht="13">
      <c r="A129" s="45"/>
      <c r="B129" s="40" t="s">
        <v>133</v>
      </c>
      <c r="C129" s="43" t="s">
        <v>4550</v>
      </c>
      <c r="D129" s="63" t="s">
        <v>581</v>
      </c>
      <c r="E129" s="62">
        <v>45085</v>
      </c>
    </row>
    <row r="130" spans="1:5" ht="13">
      <c r="A130" s="45"/>
      <c r="B130" s="40" t="s">
        <v>145</v>
      </c>
      <c r="C130" s="43" t="s">
        <v>4550</v>
      </c>
      <c r="D130" s="63" t="s">
        <v>581</v>
      </c>
      <c r="E130" s="62">
        <v>45085</v>
      </c>
    </row>
    <row r="131" spans="1:5" ht="13">
      <c r="A131" s="45"/>
      <c r="B131" s="40" t="s">
        <v>158</v>
      </c>
      <c r="C131" s="43" t="s">
        <v>4548</v>
      </c>
      <c r="D131" s="63" t="s">
        <v>581</v>
      </c>
      <c r="E131" s="62">
        <v>45085</v>
      </c>
    </row>
    <row r="132" spans="1:5" ht="13">
      <c r="A132" s="45"/>
      <c r="B132" s="40" t="s">
        <v>172</v>
      </c>
      <c r="C132" s="43" t="s">
        <v>4550</v>
      </c>
      <c r="D132" s="63" t="s">
        <v>581</v>
      </c>
      <c r="E132" s="62">
        <v>45085</v>
      </c>
    </row>
    <row r="133" spans="1:5" ht="13">
      <c r="A133" s="45"/>
      <c r="B133" s="40" t="s">
        <v>194</v>
      </c>
      <c r="C133" s="43" t="s">
        <v>4548</v>
      </c>
      <c r="D133" s="63" t="s">
        <v>581</v>
      </c>
      <c r="E133" s="62">
        <v>45085</v>
      </c>
    </row>
    <row r="134" spans="1:5" ht="13">
      <c r="A134" s="45"/>
      <c r="B134" s="40" t="s">
        <v>147</v>
      </c>
      <c r="C134" s="43" t="s">
        <v>4550</v>
      </c>
      <c r="D134" s="63" t="s">
        <v>510</v>
      </c>
      <c r="E134" s="62">
        <v>45085</v>
      </c>
    </row>
    <row r="135" spans="1:5" ht="13">
      <c r="A135" s="45"/>
      <c r="B135" s="40" t="s">
        <v>160</v>
      </c>
      <c r="C135" s="43" t="s">
        <v>4550</v>
      </c>
      <c r="D135" s="63" t="s">
        <v>510</v>
      </c>
      <c r="E135" s="62">
        <v>45085</v>
      </c>
    </row>
    <row r="136" spans="1:5" ht="13">
      <c r="A136" s="45"/>
      <c r="B136" s="40" t="s">
        <v>178</v>
      </c>
      <c r="C136" s="43" t="s">
        <v>4550</v>
      </c>
      <c r="D136" s="63" t="s">
        <v>510</v>
      </c>
      <c r="E136" s="62">
        <v>45085</v>
      </c>
    </row>
    <row r="137" spans="1:5" ht="13">
      <c r="A137" s="45"/>
      <c r="B137" s="40" t="s">
        <v>196</v>
      </c>
      <c r="C137" s="43" t="s">
        <v>4552</v>
      </c>
      <c r="D137" s="63" t="s">
        <v>510</v>
      </c>
      <c r="E137" s="62">
        <v>45085</v>
      </c>
    </row>
    <row r="138" spans="1:5" ht="13">
      <c r="A138" s="45"/>
      <c r="B138" s="40" t="s">
        <v>212</v>
      </c>
      <c r="C138" s="43" t="s">
        <v>4552</v>
      </c>
      <c r="D138" s="63" t="s">
        <v>510</v>
      </c>
      <c r="E138" s="62">
        <v>45085</v>
      </c>
    </row>
    <row r="139" spans="1:5" ht="13">
      <c r="A139" s="45"/>
      <c r="B139" s="40" t="s">
        <v>236</v>
      </c>
      <c r="C139" s="43" t="s">
        <v>4553</v>
      </c>
      <c r="D139" s="63" t="s">
        <v>510</v>
      </c>
      <c r="E139" s="62">
        <v>45085</v>
      </c>
    </row>
    <row r="140" spans="1:5" ht="13">
      <c r="A140" s="45"/>
      <c r="B140" s="40" t="s">
        <v>148</v>
      </c>
      <c r="C140" s="43" t="s">
        <v>4550</v>
      </c>
      <c r="D140" s="63" t="s">
        <v>514</v>
      </c>
      <c r="E140" s="62">
        <v>45086</v>
      </c>
    </row>
    <row r="141" spans="1:5" ht="13">
      <c r="A141" s="45"/>
      <c r="B141" s="40" t="s">
        <v>161</v>
      </c>
      <c r="C141" s="43" t="s">
        <v>4552</v>
      </c>
      <c r="D141" s="63" t="s">
        <v>514</v>
      </c>
      <c r="E141" s="62">
        <v>45086</v>
      </c>
    </row>
    <row r="142" spans="1:5" ht="13">
      <c r="A142" s="45"/>
      <c r="B142" s="40" t="s">
        <v>179</v>
      </c>
      <c r="C142" s="43" t="s">
        <v>4549</v>
      </c>
      <c r="D142" s="63" t="s">
        <v>514</v>
      </c>
      <c r="E142" s="62">
        <v>45086</v>
      </c>
    </row>
    <row r="143" spans="1:5" ht="13">
      <c r="A143" s="45"/>
      <c r="B143" s="40" t="s">
        <v>197</v>
      </c>
      <c r="C143" s="43" t="s">
        <v>4549</v>
      </c>
      <c r="D143" s="63" t="s">
        <v>514</v>
      </c>
      <c r="E143" s="62">
        <v>45086</v>
      </c>
    </row>
    <row r="144" spans="1:5" ht="13">
      <c r="A144" s="45"/>
      <c r="B144" s="40" t="s">
        <v>214</v>
      </c>
      <c r="C144" s="43" t="s">
        <v>4552</v>
      </c>
      <c r="D144" s="63" t="s">
        <v>514</v>
      </c>
      <c r="E144" s="62">
        <v>45086</v>
      </c>
    </row>
    <row r="145" spans="1:5" ht="13">
      <c r="A145" s="45"/>
      <c r="B145" s="40" t="s">
        <v>237</v>
      </c>
      <c r="C145" s="43" t="s">
        <v>4552</v>
      </c>
      <c r="D145" s="63" t="s">
        <v>514</v>
      </c>
      <c r="E145" s="62">
        <v>45086</v>
      </c>
    </row>
    <row r="146" spans="1:5" ht="13">
      <c r="A146" s="45"/>
      <c r="B146" s="40" t="s">
        <v>181</v>
      </c>
      <c r="C146" s="43" t="s">
        <v>4548</v>
      </c>
      <c r="D146" s="63" t="s">
        <v>477</v>
      </c>
      <c r="E146" s="62">
        <v>45086</v>
      </c>
    </row>
    <row r="147" spans="1:5" ht="13">
      <c r="A147" s="45"/>
      <c r="B147" s="40" t="s">
        <v>199</v>
      </c>
      <c r="C147" s="43" t="s">
        <v>4551</v>
      </c>
      <c r="D147" s="63" t="s">
        <v>477</v>
      </c>
      <c r="E147" s="62">
        <v>45086</v>
      </c>
    </row>
    <row r="148" spans="1:5" ht="13">
      <c r="A148" s="45"/>
      <c r="B148" s="40" t="s">
        <v>215</v>
      </c>
      <c r="C148" s="43" t="s">
        <v>4548</v>
      </c>
      <c r="D148" s="63" t="s">
        <v>477</v>
      </c>
      <c r="E148" s="62">
        <v>45086</v>
      </c>
    </row>
    <row r="149" spans="1:5" ht="13">
      <c r="A149" s="45"/>
      <c r="B149" s="40" t="s">
        <v>240</v>
      </c>
      <c r="C149" s="43" t="s">
        <v>4549</v>
      </c>
      <c r="D149" s="63" t="s">
        <v>477</v>
      </c>
      <c r="E149" s="62">
        <v>45086</v>
      </c>
    </row>
    <row r="150" spans="1:5" ht="13">
      <c r="A150" s="45"/>
      <c r="B150" s="40" t="s">
        <v>264</v>
      </c>
      <c r="C150" s="43" t="s">
        <v>4553</v>
      </c>
      <c r="D150" s="63" t="s">
        <v>477</v>
      </c>
      <c r="E150" s="62">
        <v>45086</v>
      </c>
    </row>
    <row r="151" spans="1:5" ht="13">
      <c r="A151" s="45"/>
      <c r="B151" s="40" t="s">
        <v>182</v>
      </c>
      <c r="C151" s="43" t="s">
        <v>4550</v>
      </c>
      <c r="D151" s="63" t="s">
        <v>430</v>
      </c>
      <c r="E151" s="62">
        <v>45086</v>
      </c>
    </row>
    <row r="152" spans="1:5" ht="13">
      <c r="A152" s="45"/>
      <c r="B152" s="40" t="s">
        <v>200</v>
      </c>
      <c r="C152" s="43" t="s">
        <v>4549</v>
      </c>
      <c r="D152" s="63" t="s">
        <v>430</v>
      </c>
      <c r="E152" s="62">
        <v>45086</v>
      </c>
    </row>
    <row r="153" spans="1:5" ht="13">
      <c r="A153" s="45"/>
      <c r="B153" s="40" t="s">
        <v>220</v>
      </c>
      <c r="C153" s="43" t="s">
        <v>4553</v>
      </c>
      <c r="D153" s="63" t="s">
        <v>430</v>
      </c>
      <c r="E153" s="62">
        <v>45086</v>
      </c>
    </row>
    <row r="154" spans="1:5" ht="13">
      <c r="A154" s="45"/>
      <c r="B154" s="40" t="s">
        <v>241</v>
      </c>
      <c r="C154" s="43" t="s">
        <v>4553</v>
      </c>
      <c r="D154" s="63" t="s">
        <v>430</v>
      </c>
      <c r="E154" s="62">
        <v>45086</v>
      </c>
    </row>
    <row r="155" spans="1:5" ht="13">
      <c r="A155" s="45"/>
      <c r="B155" s="40" t="s">
        <v>265</v>
      </c>
      <c r="C155" s="43"/>
      <c r="D155" s="63" t="s">
        <v>430</v>
      </c>
      <c r="E155" s="62">
        <v>45086</v>
      </c>
    </row>
    <row r="156" spans="1:5" ht="13">
      <c r="A156" s="45"/>
      <c r="B156" s="40" t="s">
        <v>288</v>
      </c>
      <c r="C156" s="43" t="s">
        <v>4553</v>
      </c>
      <c r="D156" s="63" t="s">
        <v>430</v>
      </c>
      <c r="E156" s="62">
        <v>45452</v>
      </c>
    </row>
    <row r="157" spans="1:5" ht="13">
      <c r="A157" s="45"/>
      <c r="B157" s="40" t="s">
        <v>66</v>
      </c>
      <c r="C157" s="43" t="s">
        <v>4550</v>
      </c>
      <c r="D157" s="63" t="s">
        <v>48</v>
      </c>
      <c r="E157" s="62">
        <v>45097</v>
      </c>
    </row>
    <row r="158" spans="1:5" ht="13">
      <c r="A158" s="45"/>
      <c r="B158" s="40" t="s">
        <v>70</v>
      </c>
      <c r="C158" s="43" t="s">
        <v>4550</v>
      </c>
      <c r="D158" s="63" t="s">
        <v>48</v>
      </c>
      <c r="E158" s="62">
        <v>45097</v>
      </c>
    </row>
    <row r="159" spans="1:5" ht="13">
      <c r="A159" s="45"/>
      <c r="B159" s="40" t="s">
        <v>75</v>
      </c>
      <c r="C159" s="43" t="s">
        <v>4550</v>
      </c>
      <c r="D159" s="63" t="s">
        <v>48</v>
      </c>
      <c r="E159" s="62">
        <v>45097</v>
      </c>
    </row>
    <row r="160" spans="1:5" ht="13">
      <c r="A160" s="45"/>
      <c r="B160" s="40" t="s">
        <v>72</v>
      </c>
      <c r="C160" s="43" t="s">
        <v>4548</v>
      </c>
      <c r="D160" s="63" t="s">
        <v>106</v>
      </c>
      <c r="E160" s="62">
        <v>45097</v>
      </c>
    </row>
    <row r="161" spans="1:5" ht="13">
      <c r="A161" s="45"/>
      <c r="B161" s="40" t="s">
        <v>83</v>
      </c>
      <c r="C161" s="43" t="s">
        <v>4550</v>
      </c>
      <c r="D161" s="63" t="s">
        <v>106</v>
      </c>
      <c r="E161" s="62">
        <v>45097</v>
      </c>
    </row>
    <row r="162" spans="1:5" ht="13">
      <c r="A162" s="45"/>
      <c r="B162" s="40" t="s">
        <v>84</v>
      </c>
      <c r="C162" s="43" t="s">
        <v>4550</v>
      </c>
      <c r="D162" s="63" t="s">
        <v>106</v>
      </c>
      <c r="E162" s="62">
        <v>45097</v>
      </c>
    </row>
    <row r="163" spans="1:5" ht="13">
      <c r="A163" s="45"/>
      <c r="B163" s="40" t="s">
        <v>87</v>
      </c>
      <c r="C163" s="43" t="s">
        <v>4556</v>
      </c>
      <c r="D163" s="63" t="s">
        <v>114</v>
      </c>
      <c r="E163" s="62">
        <v>45097</v>
      </c>
    </row>
    <row r="164" spans="1:5" ht="13">
      <c r="A164" s="45"/>
      <c r="B164" s="48" t="s">
        <v>88</v>
      </c>
      <c r="C164" s="49" t="s">
        <v>4551</v>
      </c>
      <c r="D164" s="63" t="s">
        <v>114</v>
      </c>
      <c r="E164" s="62">
        <v>45097</v>
      </c>
    </row>
    <row r="165" spans="1:5" ht="13">
      <c r="A165" s="45"/>
      <c r="B165" s="50"/>
      <c r="C165" s="51" t="s">
        <v>692</v>
      </c>
      <c r="D165" s="54"/>
      <c r="E165" s="66"/>
    </row>
    <row r="166" spans="1:5" ht="13">
      <c r="A166" s="45"/>
      <c r="B166" s="56"/>
      <c r="C166" s="57"/>
      <c r="D166" s="58"/>
      <c r="E166" s="58"/>
    </row>
    <row r="167" spans="1:5" ht="13">
      <c r="A167" s="45"/>
      <c r="B167" s="56"/>
      <c r="C167" s="57"/>
      <c r="D167" s="58"/>
      <c r="E167" s="58"/>
    </row>
  </sheetData>
  <autoFilter ref="B1:D165" xr:uid="{00000000-0009-0000-0000-000006000000}"/>
  <conditionalFormatting sqref="B2:E164">
    <cfRule type="expression" dxfId="3" priority="1">
      <formula>#REF!="Energized"</formula>
    </cfRule>
    <cfRule type="expression" dxfId="2" priority="2">
      <formula>#REF!="Needs Repair"</formula>
    </cfRule>
    <cfRule type="expression" dxfId="1" priority="3">
      <formula>#REF!="Scheduled"</formula>
    </cfRule>
    <cfRule type="expression" dxfId="0" priority="4">
      <formula>#REF!="Offline"</formula>
    </cfRule>
  </conditionalFormatting>
  <printOptions horizontalCentered="1" gridLines="1"/>
  <pageMargins left="0.7" right="0.7" top="0.75" bottom="0.75" header="0" footer="0"/>
  <pageSetup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C20"/>
  <sheetViews>
    <sheetView workbookViewId="0"/>
  </sheetViews>
  <sheetFormatPr defaultColWidth="12.54296875" defaultRowHeight="15.75" customHeight="1"/>
  <cols>
    <col min="1" max="1" width="4" customWidth="1"/>
  </cols>
  <sheetData>
    <row r="2" spans="2:3" ht="13">
      <c r="B2" s="67" t="s">
        <v>28</v>
      </c>
      <c r="C2" s="68" t="s">
        <v>4557</v>
      </c>
    </row>
    <row r="3" spans="2:3" ht="15.75" customHeight="1">
      <c r="B3" s="69" t="s">
        <v>202</v>
      </c>
      <c r="C3" s="70" t="s">
        <v>4558</v>
      </c>
    </row>
    <row r="4" spans="2:3" ht="15.75" customHeight="1">
      <c r="B4" s="69" t="s">
        <v>221</v>
      </c>
      <c r="C4" s="70" t="s">
        <v>4558</v>
      </c>
    </row>
    <row r="5" spans="2:3" ht="15.75" customHeight="1">
      <c r="B5" s="69" t="s">
        <v>243</v>
      </c>
      <c r="C5" s="70" t="s">
        <v>4558</v>
      </c>
    </row>
    <row r="6" spans="2:3" ht="15.75" customHeight="1">
      <c r="B6" s="69" t="s">
        <v>244</v>
      </c>
      <c r="C6" s="70" t="s">
        <v>4558</v>
      </c>
    </row>
    <row r="7" spans="2:3" ht="15.75" customHeight="1">
      <c r="B7" s="69" t="s">
        <v>267</v>
      </c>
      <c r="C7" s="70" t="s">
        <v>4558</v>
      </c>
    </row>
    <row r="8" spans="2:3" ht="15.75" customHeight="1">
      <c r="B8" s="69" t="s">
        <v>272</v>
      </c>
      <c r="C8" s="70" t="s">
        <v>4558</v>
      </c>
    </row>
    <row r="9" spans="2:3" ht="15.75" customHeight="1">
      <c r="B9" s="69" t="s">
        <v>279</v>
      </c>
      <c r="C9" s="70" t="s">
        <v>4558</v>
      </c>
    </row>
    <row r="10" spans="2:3" ht="15.75" customHeight="1">
      <c r="B10" s="69" t="s">
        <v>280</v>
      </c>
      <c r="C10" s="70" t="s">
        <v>4558</v>
      </c>
    </row>
    <row r="11" spans="2:3" ht="15.75" customHeight="1">
      <c r="B11" s="69" t="s">
        <v>284</v>
      </c>
      <c r="C11" s="70" t="s">
        <v>4558</v>
      </c>
    </row>
    <row r="12" spans="2:3" ht="15.75" customHeight="1">
      <c r="B12" s="69" t="s">
        <v>287</v>
      </c>
      <c r="C12" s="70" t="s">
        <v>4558</v>
      </c>
    </row>
    <row r="13" spans="2:3" ht="15.75" customHeight="1">
      <c r="B13" s="69" t="s">
        <v>291</v>
      </c>
      <c r="C13" s="70" t="s">
        <v>4558</v>
      </c>
    </row>
    <row r="14" spans="2:3" ht="15.75" customHeight="1">
      <c r="B14" s="69" t="s">
        <v>292</v>
      </c>
      <c r="C14" s="70" t="s">
        <v>4558</v>
      </c>
    </row>
    <row r="15" spans="2:3" ht="15.75" customHeight="1">
      <c r="B15" s="69" t="s">
        <v>298</v>
      </c>
      <c r="C15" s="70" t="s">
        <v>4558</v>
      </c>
    </row>
    <row r="16" spans="2:3" ht="15.75" customHeight="1">
      <c r="B16" s="69" t="s">
        <v>300</v>
      </c>
      <c r="C16" s="70" t="s">
        <v>4558</v>
      </c>
    </row>
    <row r="17" spans="2:3" ht="15.75" customHeight="1">
      <c r="B17" s="69" t="s">
        <v>301</v>
      </c>
      <c r="C17" s="70" t="s">
        <v>4558</v>
      </c>
    </row>
    <row r="18" spans="2:3" ht="15.75" customHeight="1">
      <c r="B18" s="69" t="s">
        <v>303</v>
      </c>
      <c r="C18" s="70" t="s">
        <v>4558</v>
      </c>
    </row>
    <row r="19" spans="2:3" ht="15.75" customHeight="1">
      <c r="B19" s="69" t="s">
        <v>304</v>
      </c>
      <c r="C19" s="70" t="s">
        <v>4558</v>
      </c>
    </row>
    <row r="20" spans="2:3" ht="15.75" customHeight="1">
      <c r="B20" s="71" t="s">
        <v>307</v>
      </c>
      <c r="C20" s="72" t="s">
        <v>4558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1001"/>
  <sheetViews>
    <sheetView workbookViewId="0"/>
  </sheetViews>
  <sheetFormatPr defaultColWidth="12.54296875" defaultRowHeight="15.75" customHeight="1"/>
  <cols>
    <col min="1" max="1" width="22.54296875" customWidth="1"/>
    <col min="2" max="4" width="20.54296875" customWidth="1"/>
    <col min="5" max="6" width="20.453125" customWidth="1"/>
    <col min="7" max="7" width="16" customWidth="1"/>
  </cols>
  <sheetData>
    <row r="1" spans="1:34" ht="13">
      <c r="A1" s="73" t="s">
        <v>2989</v>
      </c>
      <c r="B1" s="73" t="s">
        <v>4559</v>
      </c>
      <c r="C1" s="73" t="s">
        <v>4560</v>
      </c>
      <c r="D1" s="73" t="s">
        <v>4561</v>
      </c>
      <c r="E1" s="73" t="s">
        <v>2989</v>
      </c>
      <c r="F1" s="73" t="s">
        <v>4562</v>
      </c>
      <c r="G1" s="73" t="s">
        <v>4563</v>
      </c>
      <c r="H1" s="73" t="s">
        <v>4564</v>
      </c>
      <c r="I1" s="73" t="s">
        <v>4565</v>
      </c>
      <c r="J1" s="73" t="s">
        <v>4566</v>
      </c>
      <c r="K1" s="73" t="s">
        <v>4567</v>
      </c>
      <c r="L1" s="73" t="s">
        <v>4568</v>
      </c>
      <c r="M1" s="73" t="s">
        <v>4569</v>
      </c>
      <c r="N1" s="73" t="s">
        <v>4570</v>
      </c>
      <c r="O1" s="73" t="s">
        <v>4571</v>
      </c>
      <c r="P1" s="73" t="s">
        <v>4572</v>
      </c>
      <c r="Q1" s="73" t="s">
        <v>4573</v>
      </c>
      <c r="R1" s="73" t="s">
        <v>4574</v>
      </c>
      <c r="S1" s="73" t="s">
        <v>4575</v>
      </c>
      <c r="T1" s="73" t="s">
        <v>4576</v>
      </c>
      <c r="U1" s="73" t="s">
        <v>4577</v>
      </c>
      <c r="V1" s="73" t="s">
        <v>4578</v>
      </c>
      <c r="W1" s="73" t="s">
        <v>4579</v>
      </c>
      <c r="X1" s="73" t="s">
        <v>4580</v>
      </c>
      <c r="Y1" s="73" t="s">
        <v>4581</v>
      </c>
      <c r="Z1" s="73" t="s">
        <v>4582</v>
      </c>
      <c r="AA1" s="73" t="s">
        <v>4583</v>
      </c>
      <c r="AB1" s="73" t="s">
        <v>4584</v>
      </c>
      <c r="AC1" s="73" t="s">
        <v>4585</v>
      </c>
      <c r="AD1" s="73" t="s">
        <v>4586</v>
      </c>
      <c r="AE1" s="73" t="s">
        <v>4587</v>
      </c>
      <c r="AF1" s="73" t="s">
        <v>4588</v>
      </c>
      <c r="AG1" s="73" t="s">
        <v>4589</v>
      </c>
      <c r="AH1" s="73" t="s">
        <v>4590</v>
      </c>
    </row>
    <row r="2" spans="1:34" ht="13">
      <c r="A2" s="73" t="s">
        <v>4562</v>
      </c>
      <c r="B2" s="8">
        <v>86</v>
      </c>
      <c r="C2" s="8">
        <v>34</v>
      </c>
      <c r="D2" s="8">
        <f t="shared" ref="D2:D30" si="0">B2*C2</f>
        <v>2924</v>
      </c>
      <c r="E2" s="73" t="s">
        <v>4559</v>
      </c>
      <c r="F2" s="8">
        <v>86</v>
      </c>
      <c r="G2" s="8">
        <v>90</v>
      </c>
      <c r="H2" s="8">
        <v>95</v>
      </c>
      <c r="I2" s="8">
        <v>105</v>
      </c>
      <c r="J2" s="8">
        <v>110</v>
      </c>
      <c r="K2" s="8">
        <v>100</v>
      </c>
      <c r="L2" s="8">
        <v>104</v>
      </c>
      <c r="M2" s="8">
        <v>88</v>
      </c>
      <c r="N2" s="8">
        <v>92</v>
      </c>
      <c r="O2" s="8">
        <v>96</v>
      </c>
      <c r="P2" s="8">
        <v>134</v>
      </c>
      <c r="Q2" s="8">
        <v>141</v>
      </c>
      <c r="R2" s="8">
        <v>82</v>
      </c>
      <c r="S2" s="8">
        <v>84</v>
      </c>
      <c r="T2" s="8">
        <v>86</v>
      </c>
      <c r="U2" s="8">
        <v>86</v>
      </c>
      <c r="V2" s="8">
        <v>90</v>
      </c>
      <c r="W2" s="8">
        <v>92</v>
      </c>
      <c r="X2" s="8">
        <v>94</v>
      </c>
      <c r="Y2" s="8">
        <v>100</v>
      </c>
      <c r="Z2" s="8">
        <v>102</v>
      </c>
      <c r="AA2" s="8">
        <v>104</v>
      </c>
      <c r="AB2" s="8">
        <v>96</v>
      </c>
      <c r="AC2" s="8">
        <v>98</v>
      </c>
      <c r="AD2" s="8">
        <v>104</v>
      </c>
      <c r="AE2" s="8">
        <v>106</v>
      </c>
      <c r="AF2" s="8">
        <v>108</v>
      </c>
      <c r="AG2" s="8">
        <v>110</v>
      </c>
      <c r="AH2" s="8">
        <v>74</v>
      </c>
    </row>
    <row r="3" spans="1:34" ht="13">
      <c r="A3" s="73" t="s">
        <v>4563</v>
      </c>
      <c r="B3" s="8">
        <v>90</v>
      </c>
      <c r="C3" s="8">
        <v>34</v>
      </c>
      <c r="D3" s="8">
        <f t="shared" si="0"/>
        <v>3060</v>
      </c>
      <c r="E3" s="73" t="s">
        <v>4560</v>
      </c>
      <c r="F3" s="8">
        <v>34</v>
      </c>
      <c r="G3" s="8">
        <v>34</v>
      </c>
      <c r="H3" s="8">
        <v>34</v>
      </c>
      <c r="I3" s="8">
        <v>29.5</v>
      </c>
      <c r="J3" s="8">
        <v>29.5</v>
      </c>
      <c r="K3" s="8">
        <v>29.5</v>
      </c>
      <c r="L3" s="8">
        <v>29.5</v>
      </c>
      <c r="M3" s="8">
        <v>29.5</v>
      </c>
      <c r="N3" s="8">
        <v>29.5</v>
      </c>
      <c r="O3" s="8">
        <v>29.5</v>
      </c>
      <c r="P3" s="8">
        <v>21.5</v>
      </c>
      <c r="Q3" s="8">
        <v>21.5</v>
      </c>
      <c r="R3" s="8">
        <v>38</v>
      </c>
      <c r="S3" s="8">
        <v>38</v>
      </c>
      <c r="T3" s="8">
        <v>38</v>
      </c>
      <c r="U3" s="8">
        <v>38</v>
      </c>
      <c r="V3" s="8">
        <v>38</v>
      </c>
      <c r="W3" s="8">
        <v>38</v>
      </c>
      <c r="X3" s="8">
        <v>38</v>
      </c>
      <c r="Y3" s="8">
        <v>34</v>
      </c>
      <c r="Z3" s="8">
        <v>34</v>
      </c>
      <c r="AA3" s="8">
        <v>34</v>
      </c>
      <c r="AB3" s="8">
        <v>34</v>
      </c>
      <c r="AC3" s="8">
        <v>34</v>
      </c>
      <c r="AD3" s="8">
        <v>31</v>
      </c>
      <c r="AE3" s="8">
        <v>31</v>
      </c>
      <c r="AF3" s="8">
        <v>31</v>
      </c>
      <c r="AG3" s="8">
        <v>31</v>
      </c>
      <c r="AH3" s="8">
        <v>44</v>
      </c>
    </row>
    <row r="4" spans="1:34" ht="13">
      <c r="A4" s="73" t="s">
        <v>4564</v>
      </c>
      <c r="B4" s="8">
        <v>95</v>
      </c>
      <c r="C4" s="8">
        <v>34</v>
      </c>
      <c r="D4" s="8">
        <f t="shared" si="0"/>
        <v>3230</v>
      </c>
      <c r="E4" s="73" t="s">
        <v>4561</v>
      </c>
      <c r="F4" s="8">
        <f t="shared" ref="F4:AH4" si="1">F2*F3</f>
        <v>2924</v>
      </c>
      <c r="G4" s="8">
        <f t="shared" si="1"/>
        <v>3060</v>
      </c>
      <c r="H4" s="8">
        <f t="shared" si="1"/>
        <v>3230</v>
      </c>
      <c r="I4" s="8">
        <f t="shared" si="1"/>
        <v>3097.5</v>
      </c>
      <c r="J4" s="8">
        <f t="shared" si="1"/>
        <v>3245</v>
      </c>
      <c r="K4" s="8">
        <f t="shared" si="1"/>
        <v>2950</v>
      </c>
      <c r="L4" s="8">
        <f t="shared" si="1"/>
        <v>3068</v>
      </c>
      <c r="M4" s="8">
        <f t="shared" si="1"/>
        <v>2596</v>
      </c>
      <c r="N4" s="8">
        <f t="shared" si="1"/>
        <v>2714</v>
      </c>
      <c r="O4" s="8">
        <f t="shared" si="1"/>
        <v>2832</v>
      </c>
      <c r="P4" s="8">
        <f t="shared" si="1"/>
        <v>2881</v>
      </c>
      <c r="Q4" s="8">
        <f t="shared" si="1"/>
        <v>3031.5</v>
      </c>
      <c r="R4" s="8">
        <f t="shared" si="1"/>
        <v>3116</v>
      </c>
      <c r="S4" s="8">
        <f t="shared" si="1"/>
        <v>3192</v>
      </c>
      <c r="T4" s="8">
        <f t="shared" si="1"/>
        <v>3268</v>
      </c>
      <c r="U4" s="8">
        <f t="shared" si="1"/>
        <v>3268</v>
      </c>
      <c r="V4" s="8">
        <f t="shared" si="1"/>
        <v>3420</v>
      </c>
      <c r="W4" s="8">
        <f t="shared" si="1"/>
        <v>3496</v>
      </c>
      <c r="X4" s="8">
        <f t="shared" si="1"/>
        <v>3572</v>
      </c>
      <c r="Y4" s="8">
        <f t="shared" si="1"/>
        <v>3400</v>
      </c>
      <c r="Z4" s="8">
        <f t="shared" si="1"/>
        <v>3468</v>
      </c>
      <c r="AA4" s="8">
        <f t="shared" si="1"/>
        <v>3536</v>
      </c>
      <c r="AB4" s="8">
        <f t="shared" si="1"/>
        <v>3264</v>
      </c>
      <c r="AC4" s="8">
        <f t="shared" si="1"/>
        <v>3332</v>
      </c>
      <c r="AD4" s="8">
        <f t="shared" si="1"/>
        <v>3224</v>
      </c>
      <c r="AE4" s="8">
        <f t="shared" si="1"/>
        <v>3286</v>
      </c>
      <c r="AF4" s="8">
        <f t="shared" si="1"/>
        <v>3348</v>
      </c>
      <c r="AG4" s="8">
        <f t="shared" si="1"/>
        <v>3410</v>
      </c>
      <c r="AH4" s="8">
        <f t="shared" si="1"/>
        <v>3256</v>
      </c>
    </row>
    <row r="5" spans="1:34" ht="13">
      <c r="A5" s="73" t="s">
        <v>4565</v>
      </c>
      <c r="B5" s="8">
        <v>105</v>
      </c>
      <c r="C5" s="8">
        <v>29.5</v>
      </c>
      <c r="D5" s="8">
        <f t="shared" si="0"/>
        <v>3097.5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3">
      <c r="A6" s="73" t="s">
        <v>4566</v>
      </c>
      <c r="B6" s="8">
        <v>110</v>
      </c>
      <c r="C6" s="8">
        <v>29.5</v>
      </c>
      <c r="D6" s="8">
        <f t="shared" si="0"/>
        <v>3245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3">
      <c r="A7" s="73" t="s">
        <v>4567</v>
      </c>
      <c r="B7" s="8">
        <v>100</v>
      </c>
      <c r="C7" s="8">
        <v>29.5</v>
      </c>
      <c r="D7" s="8">
        <f t="shared" si="0"/>
        <v>2950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3">
      <c r="A8" s="73" t="s">
        <v>4568</v>
      </c>
      <c r="B8" s="8">
        <v>104</v>
      </c>
      <c r="C8" s="8">
        <v>29.5</v>
      </c>
      <c r="D8" s="8">
        <f t="shared" si="0"/>
        <v>3068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3">
      <c r="A9" s="73" t="s">
        <v>4569</v>
      </c>
      <c r="B9" s="8">
        <v>88</v>
      </c>
      <c r="C9" s="8">
        <v>29.5</v>
      </c>
      <c r="D9" s="8">
        <f t="shared" si="0"/>
        <v>2596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3">
      <c r="A10" s="73" t="s">
        <v>4570</v>
      </c>
      <c r="B10" s="8">
        <v>92</v>
      </c>
      <c r="C10" s="8">
        <v>29.5</v>
      </c>
      <c r="D10" s="8">
        <f t="shared" si="0"/>
        <v>2714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3">
      <c r="A11" s="73" t="s">
        <v>4571</v>
      </c>
      <c r="B11" s="8">
        <v>96</v>
      </c>
      <c r="C11" s="8">
        <v>29.5</v>
      </c>
      <c r="D11" s="8">
        <f t="shared" si="0"/>
        <v>2832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3">
      <c r="A12" s="73" t="s">
        <v>4572</v>
      </c>
      <c r="B12" s="8">
        <v>134</v>
      </c>
      <c r="C12" s="8">
        <v>21.5</v>
      </c>
      <c r="D12" s="8">
        <f t="shared" si="0"/>
        <v>2881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3">
      <c r="A13" s="73" t="s">
        <v>4573</v>
      </c>
      <c r="B13" s="8">
        <v>141</v>
      </c>
      <c r="C13" s="8">
        <v>21.5</v>
      </c>
      <c r="D13" s="8">
        <f t="shared" si="0"/>
        <v>3031.5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3">
      <c r="A14" s="73" t="s">
        <v>4574</v>
      </c>
      <c r="B14" s="8">
        <v>82</v>
      </c>
      <c r="C14" s="8">
        <v>38</v>
      </c>
      <c r="D14" s="8">
        <f t="shared" si="0"/>
        <v>3116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3">
      <c r="A15" s="73" t="s">
        <v>4575</v>
      </c>
      <c r="B15" s="8">
        <v>84</v>
      </c>
      <c r="C15" s="8">
        <v>38</v>
      </c>
      <c r="D15" s="8">
        <f t="shared" si="0"/>
        <v>3192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3">
      <c r="A16" s="73" t="s">
        <v>4576</v>
      </c>
      <c r="B16" s="8">
        <v>86</v>
      </c>
      <c r="C16" s="8">
        <v>38</v>
      </c>
      <c r="D16" s="8">
        <f t="shared" si="0"/>
        <v>3268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3">
      <c r="A17" s="73" t="s">
        <v>4577</v>
      </c>
      <c r="B17" s="8">
        <v>86</v>
      </c>
      <c r="C17" s="8">
        <v>38</v>
      </c>
      <c r="D17" s="8">
        <f t="shared" si="0"/>
        <v>3268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3">
      <c r="A18" s="73" t="s">
        <v>4578</v>
      </c>
      <c r="B18" s="8">
        <v>90</v>
      </c>
      <c r="C18" s="8">
        <v>38</v>
      </c>
      <c r="D18" s="8">
        <f t="shared" si="0"/>
        <v>3420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3">
      <c r="A19" s="73" t="s">
        <v>4579</v>
      </c>
      <c r="B19" s="8">
        <v>92</v>
      </c>
      <c r="C19" s="8">
        <v>38</v>
      </c>
      <c r="D19" s="8">
        <f t="shared" si="0"/>
        <v>3496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3">
      <c r="A20" s="73" t="s">
        <v>4580</v>
      </c>
      <c r="B20" s="8">
        <v>94</v>
      </c>
      <c r="C20" s="8">
        <v>38</v>
      </c>
      <c r="D20" s="8">
        <f t="shared" si="0"/>
        <v>3572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3">
      <c r="A21" s="73" t="s">
        <v>4581</v>
      </c>
      <c r="B21" s="8">
        <v>100</v>
      </c>
      <c r="C21" s="8">
        <v>34</v>
      </c>
      <c r="D21" s="8">
        <f t="shared" si="0"/>
        <v>3400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3">
      <c r="A22" s="73" t="s">
        <v>4582</v>
      </c>
      <c r="B22" s="8">
        <v>102</v>
      </c>
      <c r="C22" s="8">
        <v>34</v>
      </c>
      <c r="D22" s="8">
        <f t="shared" si="0"/>
        <v>3468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3">
      <c r="A23" s="73" t="s">
        <v>4583</v>
      </c>
      <c r="B23" s="8">
        <v>104</v>
      </c>
      <c r="C23" s="8">
        <v>34</v>
      </c>
      <c r="D23" s="8">
        <f t="shared" si="0"/>
        <v>3536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3">
      <c r="A24" s="73" t="s">
        <v>4584</v>
      </c>
      <c r="B24" s="8">
        <v>96</v>
      </c>
      <c r="C24" s="8">
        <v>34</v>
      </c>
      <c r="D24" s="8">
        <f t="shared" si="0"/>
        <v>3264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3">
      <c r="A25" s="73" t="s">
        <v>4585</v>
      </c>
      <c r="B25" s="8">
        <v>98</v>
      </c>
      <c r="C25" s="8">
        <v>34</v>
      </c>
      <c r="D25" s="8">
        <f t="shared" si="0"/>
        <v>3332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3">
      <c r="A26" s="73" t="s">
        <v>4586</v>
      </c>
      <c r="B26" s="8">
        <v>104</v>
      </c>
      <c r="C26" s="8">
        <v>31</v>
      </c>
      <c r="D26" s="8">
        <f t="shared" si="0"/>
        <v>3224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3">
      <c r="A27" s="73" t="s">
        <v>4587</v>
      </c>
      <c r="B27" s="8">
        <v>106</v>
      </c>
      <c r="C27" s="8">
        <v>31</v>
      </c>
      <c r="D27" s="8">
        <f t="shared" si="0"/>
        <v>3286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3">
      <c r="A28" s="73" t="s">
        <v>4588</v>
      </c>
      <c r="B28" s="8">
        <v>108</v>
      </c>
      <c r="C28" s="8">
        <v>31</v>
      </c>
      <c r="D28" s="8">
        <f t="shared" si="0"/>
        <v>3348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3">
      <c r="A29" s="73" t="s">
        <v>4589</v>
      </c>
      <c r="B29" s="8">
        <v>110</v>
      </c>
      <c r="C29" s="8">
        <v>31</v>
      </c>
      <c r="D29" s="8">
        <f t="shared" si="0"/>
        <v>3410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3">
      <c r="A30" s="73" t="s">
        <v>4590</v>
      </c>
      <c r="B30" s="8">
        <v>74</v>
      </c>
      <c r="C30" s="8">
        <v>44</v>
      </c>
      <c r="D30" s="8">
        <f t="shared" si="0"/>
        <v>3256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 spans="1:34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28"/>
  <sheetViews>
    <sheetView workbookViewId="0"/>
  </sheetViews>
  <sheetFormatPr defaultColWidth="12.54296875" defaultRowHeight="15.75" customHeight="1"/>
  <sheetData>
    <row r="1" spans="1:15" ht="13">
      <c r="A1" s="17" t="s">
        <v>4591</v>
      </c>
      <c r="B1" s="74">
        <v>44575</v>
      </c>
      <c r="C1" s="74">
        <v>44582</v>
      </c>
      <c r="D1" s="74">
        <v>44589</v>
      </c>
      <c r="E1" s="74">
        <v>44596</v>
      </c>
      <c r="F1" s="74">
        <v>44603</v>
      </c>
      <c r="G1" s="74">
        <v>44610</v>
      </c>
      <c r="H1" s="74">
        <v>44617</v>
      </c>
      <c r="I1" s="74">
        <v>44624</v>
      </c>
      <c r="J1" s="74">
        <v>44631</v>
      </c>
      <c r="K1" s="74">
        <v>44638</v>
      </c>
      <c r="L1" s="74">
        <v>44645</v>
      </c>
      <c r="M1" s="74">
        <v>44652</v>
      </c>
      <c r="N1" s="74"/>
      <c r="O1" s="74"/>
    </row>
    <row r="2" spans="1:15" ht="15.75" customHeight="1">
      <c r="A2" s="20"/>
    </row>
    <row r="3" spans="1:15" ht="15.75" customHeight="1">
      <c r="A3" s="20" t="s">
        <v>4592</v>
      </c>
      <c r="I3" s="20">
        <f>7*560</f>
        <v>3920</v>
      </c>
      <c r="K3" s="20">
        <f>7*560</f>
        <v>3920</v>
      </c>
      <c r="M3" s="20">
        <f>7*560</f>
        <v>3920</v>
      </c>
    </row>
    <row r="4" spans="1:15" ht="15.75" customHeight="1">
      <c r="A4" s="75" t="s">
        <v>4593</v>
      </c>
      <c r="B4" s="75"/>
      <c r="C4" s="75"/>
      <c r="D4" s="75"/>
      <c r="E4" s="75"/>
      <c r="F4" s="75"/>
      <c r="G4" s="75"/>
      <c r="H4" s="75"/>
      <c r="I4" s="75">
        <f t="shared" ref="I4:M4" si="0">I3+H4</f>
        <v>3920</v>
      </c>
      <c r="J4" s="75">
        <f t="shared" si="0"/>
        <v>3920</v>
      </c>
      <c r="K4" s="75">
        <f t="shared" si="0"/>
        <v>7840</v>
      </c>
      <c r="L4" s="75">
        <f t="shared" si="0"/>
        <v>7840</v>
      </c>
      <c r="M4" s="75">
        <f t="shared" si="0"/>
        <v>11760</v>
      </c>
    </row>
    <row r="6" spans="1:15" ht="15.75" customHeight="1">
      <c r="A6" s="20" t="s">
        <v>4594</v>
      </c>
      <c r="D6" s="76"/>
      <c r="E6" s="76"/>
      <c r="F6" s="20">
        <v>6500</v>
      </c>
      <c r="G6" s="20">
        <v>3500</v>
      </c>
      <c r="L6" s="20">
        <v>1760</v>
      </c>
    </row>
    <row r="7" spans="1:15" ht="15.75" customHeight="1">
      <c r="A7" s="75" t="s">
        <v>4595</v>
      </c>
      <c r="B7" s="75">
        <f>B6</f>
        <v>0</v>
      </c>
      <c r="C7" s="75"/>
      <c r="D7" s="75"/>
      <c r="E7" s="75"/>
      <c r="F7" s="75">
        <f t="shared" ref="F7:M7" si="1">E7+F6</f>
        <v>6500</v>
      </c>
      <c r="G7" s="75">
        <f t="shared" si="1"/>
        <v>10000</v>
      </c>
      <c r="H7" s="75">
        <f t="shared" si="1"/>
        <v>10000</v>
      </c>
      <c r="I7" s="75">
        <f t="shared" si="1"/>
        <v>10000</v>
      </c>
      <c r="J7" s="75">
        <f t="shared" si="1"/>
        <v>10000</v>
      </c>
      <c r="K7" s="75">
        <f t="shared" si="1"/>
        <v>10000</v>
      </c>
      <c r="L7" s="75">
        <f t="shared" si="1"/>
        <v>11760</v>
      </c>
      <c r="M7" s="75">
        <f t="shared" si="1"/>
        <v>11760</v>
      </c>
    </row>
    <row r="14" spans="1:15" ht="13">
      <c r="A14" s="21" t="s">
        <v>4596</v>
      </c>
      <c r="B14" s="13" t="s">
        <v>4597</v>
      </c>
      <c r="C14" s="13" t="s">
        <v>4598</v>
      </c>
    </row>
    <row r="15" spans="1:15" ht="15.75" customHeight="1">
      <c r="A15" s="13" t="s">
        <v>4599</v>
      </c>
      <c r="B15" s="77">
        <f t="shared" ref="B15:B16" si="2">C15/60</f>
        <v>0.05</v>
      </c>
      <c r="C15" s="78">
        <v>3</v>
      </c>
    </row>
    <row r="16" spans="1:15" ht="15.75" customHeight="1">
      <c r="A16" s="13" t="s">
        <v>4600</v>
      </c>
      <c r="B16" s="77">
        <f t="shared" si="2"/>
        <v>8.3333333333333329E-2</v>
      </c>
      <c r="C16" s="78">
        <v>5</v>
      </c>
    </row>
    <row r="17" spans="1:3" ht="15.75" customHeight="1">
      <c r="A17" s="13"/>
      <c r="B17" s="13"/>
      <c r="C17" s="13"/>
    </row>
    <row r="18" spans="1:3" ht="15.75" customHeight="1">
      <c r="A18" s="13"/>
      <c r="B18" s="13"/>
      <c r="C18" s="13"/>
    </row>
    <row r="19" spans="1:3" ht="15.75" customHeight="1">
      <c r="A19" s="13" t="s">
        <v>4601</v>
      </c>
      <c r="B19" s="78">
        <v>5</v>
      </c>
      <c r="C19" s="13"/>
    </row>
    <row r="20" spans="1:3" ht="15.75" customHeight="1">
      <c r="A20" s="13" t="s">
        <v>4602</v>
      </c>
      <c r="B20" s="78">
        <v>7</v>
      </c>
      <c r="C20" s="13"/>
    </row>
    <row r="21" spans="1:3" ht="15.75" customHeight="1">
      <c r="A21" s="13" t="s">
        <v>4603</v>
      </c>
      <c r="B21" s="79">
        <f>B19*B20</f>
        <v>35</v>
      </c>
      <c r="C21" s="13"/>
    </row>
    <row r="22" spans="1:3" ht="15.75" customHeight="1">
      <c r="A22" s="13"/>
      <c r="B22" s="13"/>
      <c r="C22" s="13"/>
    </row>
    <row r="23" spans="1:3" ht="15.75" customHeight="1">
      <c r="A23" s="13"/>
      <c r="B23" s="13" t="s">
        <v>4604</v>
      </c>
      <c r="C23" s="13" t="s">
        <v>4605</v>
      </c>
    </row>
    <row r="24" spans="1:3" ht="12.5">
      <c r="A24" s="13" t="s">
        <v>4606</v>
      </c>
      <c r="B24" s="79">
        <f>B21/B15</f>
        <v>700</v>
      </c>
      <c r="C24" s="13">
        <f>B20/B15</f>
        <v>140</v>
      </c>
    </row>
    <row r="25" spans="1:3" ht="12.5">
      <c r="A25" s="13" t="s">
        <v>4607</v>
      </c>
      <c r="B25" s="79">
        <f>B21/B16</f>
        <v>420</v>
      </c>
      <c r="C25" s="13">
        <f>B20/B16</f>
        <v>84</v>
      </c>
    </row>
    <row r="26" spans="1:3" ht="12.5">
      <c r="A26" s="13"/>
      <c r="B26" s="13"/>
      <c r="C26" s="13"/>
    </row>
    <row r="27" spans="1:3" ht="12.5">
      <c r="A27" s="13" t="s">
        <v>4608</v>
      </c>
      <c r="B27" s="78">
        <v>10</v>
      </c>
      <c r="C27" s="13"/>
    </row>
    <row r="28" spans="1:3" ht="12.5">
      <c r="A28" s="13"/>
      <c r="B28" s="13"/>
      <c r="C28" s="13"/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defaultColWidth="12.54296875" defaultRowHeight="15.75" customHeight="1"/>
  <cols>
    <col min="1" max="1" width="3.54296875" customWidth="1"/>
    <col min="2" max="2" width="19.54296875" customWidth="1"/>
    <col min="3" max="3" width="12.54296875" customWidth="1"/>
    <col min="4" max="5" width="19.54296875" customWidth="1"/>
  </cols>
  <sheetData>
    <row r="1" spans="1:5" ht="15.75" customHeight="1">
      <c r="A1" s="80"/>
      <c r="B1" s="81" t="s">
        <v>4609</v>
      </c>
      <c r="C1" s="82" t="s">
        <v>4610</v>
      </c>
      <c r="D1" s="83" t="s">
        <v>4611</v>
      </c>
      <c r="E1" s="82" t="s">
        <v>4612</v>
      </c>
    </row>
    <row r="2" spans="1:5" ht="12.5">
      <c r="B2" s="20" t="s">
        <v>4613</v>
      </c>
      <c r="C2" s="8">
        <v>10</v>
      </c>
      <c r="D2" s="84">
        <v>40000</v>
      </c>
      <c r="E2" s="84">
        <f t="shared" ref="E2:E3" si="0">D2/C2</f>
        <v>4000</v>
      </c>
    </row>
    <row r="3" spans="1:5" ht="12.5">
      <c r="B3" s="20" t="s">
        <v>4614</v>
      </c>
      <c r="C3" s="8">
        <v>12</v>
      </c>
      <c r="D3" s="84">
        <v>30472</v>
      </c>
      <c r="E3" s="84">
        <f t="shared" si="0"/>
        <v>2539.3333333333335</v>
      </c>
    </row>
    <row r="4" spans="1:5" ht="12.5">
      <c r="B4" s="20" t="s">
        <v>4615</v>
      </c>
      <c r="C4" s="8">
        <v>10</v>
      </c>
      <c r="D4" s="84" t="s">
        <v>4616</v>
      </c>
      <c r="E4" s="84">
        <v>2700</v>
      </c>
    </row>
    <row r="5" spans="1:5" ht="12.5">
      <c r="C5" s="8"/>
      <c r="D5" s="84"/>
      <c r="E5" s="8"/>
    </row>
    <row r="6" spans="1:5" ht="12.5">
      <c r="C6" s="8"/>
      <c r="D6" s="84"/>
      <c r="E6" s="8"/>
    </row>
    <row r="7" spans="1:5" ht="12.5">
      <c r="C7" s="8"/>
      <c r="D7" s="84"/>
      <c r="E7" s="8"/>
    </row>
    <row r="8" spans="1:5" ht="12.5">
      <c r="C8" s="8"/>
      <c r="D8" s="84"/>
      <c r="E8" s="8"/>
    </row>
    <row r="9" spans="1:5" ht="12.5">
      <c r="C9" s="8"/>
      <c r="D9" s="84"/>
      <c r="E9" s="8"/>
    </row>
    <row r="10" spans="1:5" ht="12.5">
      <c r="C10" s="8"/>
      <c r="D10" s="84"/>
      <c r="E10" s="8"/>
    </row>
    <row r="11" spans="1:5" ht="12.5">
      <c r="C11" s="8"/>
      <c r="D11" s="84"/>
      <c r="E11" s="8"/>
    </row>
    <row r="12" spans="1:5" ht="12.5">
      <c r="C12" s="8"/>
      <c r="D12" s="84"/>
      <c r="E12" s="8"/>
    </row>
    <row r="13" spans="1:5" ht="12.5">
      <c r="C13" s="8"/>
      <c r="D13" s="84"/>
      <c r="E13" s="8"/>
    </row>
    <row r="14" spans="1:5" ht="12.5">
      <c r="C14" s="8"/>
      <c r="D14" s="84"/>
      <c r="E14" s="8"/>
    </row>
    <row r="15" spans="1:5" ht="12.5">
      <c r="C15" s="8"/>
      <c r="D15" s="84"/>
      <c r="E15" s="8"/>
    </row>
    <row r="16" spans="1:5" ht="12.5">
      <c r="C16" s="8"/>
      <c r="D16" s="84"/>
      <c r="E16" s="8"/>
    </row>
    <row r="17" spans="3:5" ht="12.5">
      <c r="C17" s="8"/>
      <c r="D17" s="84"/>
      <c r="E17" s="8"/>
    </row>
    <row r="18" spans="3:5" ht="12.5">
      <c r="C18" s="8"/>
      <c r="D18" s="84"/>
      <c r="E18" s="8"/>
    </row>
    <row r="19" spans="3:5" ht="12.5">
      <c r="C19" s="8"/>
      <c r="D19" s="84"/>
      <c r="E19" s="8"/>
    </row>
    <row r="20" spans="3:5" ht="12.5">
      <c r="C20" s="8"/>
      <c r="D20" s="84"/>
      <c r="E20" s="8"/>
    </row>
    <row r="21" spans="3:5" ht="12.5">
      <c r="C21" s="8"/>
      <c r="D21" s="84"/>
      <c r="E21" s="8"/>
    </row>
    <row r="22" spans="3:5" ht="12.5">
      <c r="C22" s="8"/>
      <c r="D22" s="84"/>
      <c r="E22" s="8"/>
    </row>
    <row r="23" spans="3:5" ht="12.5">
      <c r="C23" s="8"/>
      <c r="D23" s="84"/>
      <c r="E23" s="8"/>
    </row>
    <row r="24" spans="3:5" ht="12.5">
      <c r="C24" s="8"/>
      <c r="D24" s="84"/>
      <c r="E24" s="8"/>
    </row>
    <row r="25" spans="3:5" ht="12.5">
      <c r="C25" s="8"/>
      <c r="D25" s="84"/>
      <c r="E25" s="8"/>
    </row>
    <row r="26" spans="3:5" ht="12.5">
      <c r="C26" s="8"/>
      <c r="D26" s="84"/>
      <c r="E26" s="8"/>
    </row>
    <row r="27" spans="3:5" ht="12.5">
      <c r="C27" s="8"/>
      <c r="D27" s="84"/>
      <c r="E27" s="8"/>
    </row>
    <row r="28" spans="3:5" ht="12.5">
      <c r="C28" s="8"/>
      <c r="D28" s="84"/>
      <c r="E28" s="8"/>
    </row>
    <row r="29" spans="3:5" ht="12.5">
      <c r="C29" s="8"/>
      <c r="D29" s="84"/>
      <c r="E29" s="8"/>
    </row>
    <row r="30" spans="3:5" ht="12.5">
      <c r="C30" s="8"/>
      <c r="D30" s="84"/>
      <c r="E30" s="8"/>
    </row>
    <row r="31" spans="3:5" ht="12.5">
      <c r="C31" s="8"/>
      <c r="D31" s="84"/>
      <c r="E31" s="8"/>
    </row>
    <row r="32" spans="3:5" ht="12.5">
      <c r="C32" s="8"/>
      <c r="D32" s="84"/>
      <c r="E32" s="8"/>
    </row>
    <row r="33" spans="3:5" ht="12.5">
      <c r="C33" s="8"/>
      <c r="D33" s="84"/>
      <c r="E33" s="8"/>
    </row>
    <row r="34" spans="3:5" ht="12.5">
      <c r="C34" s="8"/>
      <c r="D34" s="84"/>
      <c r="E34" s="8"/>
    </row>
    <row r="35" spans="3:5" ht="12.5">
      <c r="C35" s="8"/>
      <c r="D35" s="84"/>
      <c r="E35" s="8"/>
    </row>
    <row r="36" spans="3:5" ht="12.5">
      <c r="C36" s="8"/>
      <c r="D36" s="84"/>
      <c r="E36" s="8"/>
    </row>
    <row r="37" spans="3:5" ht="12.5">
      <c r="C37" s="8"/>
      <c r="D37" s="84"/>
      <c r="E37" s="8"/>
    </row>
    <row r="38" spans="3:5" ht="12.5">
      <c r="C38" s="8"/>
      <c r="D38" s="84"/>
      <c r="E38" s="8"/>
    </row>
    <row r="39" spans="3:5" ht="12.5">
      <c r="C39" s="8"/>
      <c r="D39" s="84"/>
      <c r="E39" s="8"/>
    </row>
    <row r="40" spans="3:5" ht="12.5">
      <c r="C40" s="8"/>
      <c r="D40" s="84"/>
      <c r="E40" s="8"/>
    </row>
    <row r="41" spans="3:5" ht="12.5">
      <c r="C41" s="8"/>
      <c r="D41" s="84"/>
      <c r="E41" s="8"/>
    </row>
    <row r="42" spans="3:5" ht="12.5">
      <c r="C42" s="8"/>
      <c r="D42" s="84"/>
      <c r="E42" s="8"/>
    </row>
    <row r="43" spans="3:5" ht="12.5">
      <c r="C43" s="8"/>
      <c r="D43" s="84"/>
      <c r="E43" s="8"/>
    </row>
    <row r="44" spans="3:5" ht="12.5">
      <c r="C44" s="8"/>
      <c r="D44" s="84"/>
      <c r="E44" s="8"/>
    </row>
    <row r="45" spans="3:5" ht="12.5">
      <c r="C45" s="8"/>
      <c r="D45" s="84"/>
      <c r="E45" s="8"/>
    </row>
    <row r="46" spans="3:5" ht="12.5">
      <c r="C46" s="8"/>
      <c r="D46" s="84"/>
      <c r="E46" s="8"/>
    </row>
    <row r="47" spans="3:5" ht="12.5">
      <c r="C47" s="8"/>
      <c r="D47" s="84"/>
      <c r="E47" s="8"/>
    </row>
    <row r="48" spans="3:5" ht="12.5">
      <c r="C48" s="8"/>
      <c r="D48" s="84"/>
      <c r="E48" s="8"/>
    </row>
    <row r="49" spans="3:5" ht="12.5">
      <c r="C49" s="8"/>
      <c r="D49" s="84"/>
      <c r="E49" s="8"/>
    </row>
    <row r="50" spans="3:5" ht="12.5">
      <c r="C50" s="8"/>
      <c r="D50" s="84"/>
      <c r="E50" s="8"/>
    </row>
    <row r="51" spans="3:5" ht="12.5">
      <c r="C51" s="8"/>
      <c r="D51" s="84"/>
      <c r="E51" s="8"/>
    </row>
    <row r="52" spans="3:5" ht="12.5">
      <c r="C52" s="8"/>
      <c r="D52" s="84"/>
      <c r="E52" s="8"/>
    </row>
    <row r="53" spans="3:5" ht="12.5">
      <c r="C53" s="8"/>
      <c r="D53" s="84"/>
      <c r="E53" s="8"/>
    </row>
    <row r="54" spans="3:5" ht="12.5">
      <c r="C54" s="8"/>
      <c r="D54" s="84"/>
      <c r="E54" s="8"/>
    </row>
    <row r="55" spans="3:5" ht="12.5">
      <c r="C55" s="8"/>
      <c r="D55" s="84"/>
      <c r="E55" s="8"/>
    </row>
    <row r="56" spans="3:5" ht="12.5">
      <c r="C56" s="8"/>
      <c r="D56" s="84"/>
      <c r="E56" s="8"/>
    </row>
    <row r="57" spans="3:5" ht="12.5">
      <c r="C57" s="8"/>
      <c r="D57" s="84"/>
      <c r="E57" s="8"/>
    </row>
    <row r="58" spans="3:5" ht="12.5">
      <c r="C58" s="8"/>
      <c r="D58" s="84"/>
      <c r="E58" s="8"/>
    </row>
    <row r="59" spans="3:5" ht="12.5">
      <c r="C59" s="8"/>
      <c r="D59" s="84"/>
      <c r="E59" s="8"/>
    </row>
    <row r="60" spans="3:5" ht="12.5">
      <c r="C60" s="8"/>
      <c r="D60" s="84"/>
      <c r="E60" s="8"/>
    </row>
    <row r="61" spans="3:5" ht="12.5">
      <c r="C61" s="8"/>
      <c r="D61" s="84"/>
      <c r="E61" s="8"/>
    </row>
    <row r="62" spans="3:5" ht="12.5">
      <c r="C62" s="8"/>
      <c r="D62" s="84"/>
      <c r="E62" s="8"/>
    </row>
    <row r="63" spans="3:5" ht="12.5">
      <c r="C63" s="8"/>
      <c r="D63" s="84"/>
      <c r="E63" s="8"/>
    </row>
    <row r="64" spans="3:5" ht="12.5">
      <c r="C64" s="8"/>
      <c r="D64" s="84"/>
      <c r="E64" s="8"/>
    </row>
    <row r="65" spans="3:5" ht="12.5">
      <c r="C65" s="8"/>
      <c r="D65" s="84"/>
      <c r="E65" s="8"/>
    </row>
    <row r="66" spans="3:5" ht="12.5">
      <c r="C66" s="8"/>
      <c r="D66" s="84"/>
      <c r="E66" s="8"/>
    </row>
    <row r="67" spans="3:5" ht="12.5">
      <c r="C67" s="8"/>
      <c r="D67" s="84"/>
      <c r="E67" s="8"/>
    </row>
    <row r="68" spans="3:5" ht="12.5">
      <c r="C68" s="8"/>
      <c r="D68" s="84"/>
      <c r="E68" s="8"/>
    </row>
    <row r="69" spans="3:5" ht="12.5">
      <c r="C69" s="8"/>
      <c r="D69" s="84"/>
      <c r="E69" s="8"/>
    </row>
    <row r="70" spans="3:5" ht="12.5">
      <c r="C70" s="8"/>
      <c r="D70" s="84"/>
      <c r="E70" s="8"/>
    </row>
    <row r="71" spans="3:5" ht="12.5">
      <c r="C71" s="8"/>
      <c r="D71" s="84"/>
      <c r="E71" s="8"/>
    </row>
    <row r="72" spans="3:5" ht="12.5">
      <c r="C72" s="8"/>
      <c r="D72" s="84"/>
      <c r="E72" s="8"/>
    </row>
    <row r="73" spans="3:5" ht="12.5">
      <c r="C73" s="8"/>
      <c r="D73" s="84"/>
      <c r="E73" s="8"/>
    </row>
    <row r="74" spans="3:5" ht="12.5">
      <c r="C74" s="8"/>
      <c r="D74" s="84"/>
      <c r="E74" s="8"/>
    </row>
    <row r="75" spans="3:5" ht="12.5">
      <c r="C75" s="8"/>
      <c r="D75" s="84"/>
      <c r="E75" s="8"/>
    </row>
    <row r="76" spans="3:5" ht="12.5">
      <c r="C76" s="8"/>
      <c r="D76" s="84"/>
      <c r="E76" s="8"/>
    </row>
    <row r="77" spans="3:5" ht="12.5">
      <c r="C77" s="8"/>
      <c r="D77" s="84"/>
      <c r="E77" s="8"/>
    </row>
    <row r="78" spans="3:5" ht="12.5">
      <c r="C78" s="8"/>
      <c r="D78" s="84"/>
      <c r="E78" s="8"/>
    </row>
    <row r="79" spans="3:5" ht="12.5">
      <c r="C79" s="8"/>
      <c r="D79" s="84"/>
      <c r="E79" s="8"/>
    </row>
    <row r="80" spans="3:5" ht="12.5">
      <c r="C80" s="8"/>
      <c r="D80" s="84"/>
      <c r="E80" s="8"/>
    </row>
    <row r="81" spans="3:5" ht="12.5">
      <c r="C81" s="8"/>
      <c r="D81" s="84"/>
      <c r="E81" s="8"/>
    </row>
    <row r="82" spans="3:5" ht="12.5">
      <c r="C82" s="8"/>
      <c r="D82" s="84"/>
      <c r="E82" s="8"/>
    </row>
    <row r="83" spans="3:5" ht="12.5">
      <c r="C83" s="8"/>
      <c r="D83" s="84"/>
      <c r="E83" s="8"/>
    </row>
    <row r="84" spans="3:5" ht="12.5">
      <c r="C84" s="8"/>
      <c r="D84" s="84"/>
      <c r="E84" s="8"/>
    </row>
    <row r="85" spans="3:5" ht="12.5">
      <c r="C85" s="8"/>
      <c r="D85" s="84"/>
      <c r="E85" s="8"/>
    </row>
    <row r="86" spans="3:5" ht="12.5">
      <c r="C86" s="8"/>
      <c r="D86" s="84"/>
      <c r="E86" s="8"/>
    </row>
    <row r="87" spans="3:5" ht="12.5">
      <c r="C87" s="8"/>
      <c r="D87" s="84"/>
      <c r="E87" s="8"/>
    </row>
    <row r="88" spans="3:5" ht="12.5">
      <c r="C88" s="8"/>
      <c r="D88" s="84"/>
      <c r="E88" s="8"/>
    </row>
    <row r="89" spans="3:5" ht="12.5">
      <c r="C89" s="8"/>
      <c r="D89" s="84"/>
      <c r="E89" s="8"/>
    </row>
    <row r="90" spans="3:5" ht="12.5">
      <c r="C90" s="8"/>
      <c r="D90" s="84"/>
      <c r="E90" s="8"/>
    </row>
    <row r="91" spans="3:5" ht="12.5">
      <c r="C91" s="8"/>
      <c r="D91" s="84"/>
      <c r="E91" s="8"/>
    </row>
    <row r="92" spans="3:5" ht="12.5">
      <c r="C92" s="8"/>
      <c r="D92" s="84"/>
      <c r="E92" s="8"/>
    </row>
    <row r="93" spans="3:5" ht="12.5">
      <c r="C93" s="8"/>
      <c r="D93" s="84"/>
      <c r="E93" s="8"/>
    </row>
    <row r="94" spans="3:5" ht="12.5">
      <c r="C94" s="8"/>
      <c r="D94" s="84"/>
      <c r="E94" s="8"/>
    </row>
    <row r="95" spans="3:5" ht="12.5">
      <c r="C95" s="8"/>
      <c r="D95" s="84"/>
      <c r="E95" s="8"/>
    </row>
    <row r="96" spans="3:5" ht="12.5">
      <c r="C96" s="8"/>
      <c r="D96" s="84"/>
      <c r="E96" s="8"/>
    </row>
    <row r="97" spans="3:5" ht="12.5">
      <c r="C97" s="8"/>
      <c r="D97" s="84"/>
      <c r="E97" s="8"/>
    </row>
    <row r="98" spans="3:5" ht="12.5">
      <c r="C98" s="8"/>
      <c r="D98" s="84"/>
      <c r="E98" s="8"/>
    </row>
    <row r="99" spans="3:5" ht="12.5">
      <c r="C99" s="8"/>
      <c r="D99" s="84"/>
      <c r="E99" s="8"/>
    </row>
    <row r="100" spans="3:5" ht="12.5">
      <c r="C100" s="8"/>
      <c r="D100" s="84"/>
      <c r="E100" s="8"/>
    </row>
    <row r="101" spans="3:5" ht="12.5">
      <c r="C101" s="8"/>
      <c r="D101" s="84"/>
      <c r="E101" s="8"/>
    </row>
    <row r="102" spans="3:5" ht="12.5">
      <c r="C102" s="8"/>
      <c r="D102" s="84"/>
      <c r="E102" s="8"/>
    </row>
    <row r="103" spans="3:5" ht="12.5">
      <c r="C103" s="8"/>
      <c r="D103" s="84"/>
      <c r="E103" s="8"/>
    </row>
    <row r="104" spans="3:5" ht="12.5">
      <c r="C104" s="8"/>
      <c r="D104" s="84"/>
      <c r="E104" s="8"/>
    </row>
    <row r="105" spans="3:5" ht="12.5">
      <c r="C105" s="8"/>
      <c r="D105" s="84"/>
      <c r="E105" s="8"/>
    </row>
    <row r="106" spans="3:5" ht="12.5">
      <c r="C106" s="8"/>
      <c r="D106" s="84"/>
      <c r="E106" s="8"/>
    </row>
    <row r="107" spans="3:5" ht="12.5">
      <c r="C107" s="8"/>
      <c r="D107" s="84"/>
      <c r="E107" s="8"/>
    </row>
    <row r="108" spans="3:5" ht="12.5">
      <c r="C108" s="8"/>
      <c r="D108" s="84"/>
      <c r="E108" s="8"/>
    </row>
    <row r="109" spans="3:5" ht="12.5">
      <c r="C109" s="8"/>
      <c r="D109" s="84"/>
      <c r="E109" s="8"/>
    </row>
    <row r="110" spans="3:5" ht="12.5">
      <c r="C110" s="8"/>
      <c r="D110" s="84"/>
      <c r="E110" s="8"/>
    </row>
    <row r="111" spans="3:5" ht="12.5">
      <c r="C111" s="8"/>
      <c r="D111" s="84"/>
      <c r="E111" s="8"/>
    </row>
    <row r="112" spans="3:5" ht="12.5">
      <c r="C112" s="8"/>
      <c r="D112" s="84"/>
      <c r="E112" s="8"/>
    </row>
    <row r="113" spans="3:5" ht="12.5">
      <c r="C113" s="8"/>
      <c r="D113" s="84"/>
      <c r="E113" s="8"/>
    </row>
    <row r="114" spans="3:5" ht="12.5">
      <c r="C114" s="8"/>
      <c r="D114" s="84"/>
      <c r="E114" s="8"/>
    </row>
    <row r="115" spans="3:5" ht="12.5">
      <c r="C115" s="8"/>
      <c r="D115" s="84"/>
      <c r="E115" s="8"/>
    </row>
    <row r="116" spans="3:5" ht="12.5">
      <c r="C116" s="8"/>
      <c r="D116" s="84"/>
      <c r="E116" s="8"/>
    </row>
    <row r="117" spans="3:5" ht="12.5">
      <c r="C117" s="8"/>
      <c r="D117" s="84"/>
      <c r="E117" s="8"/>
    </row>
    <row r="118" spans="3:5" ht="12.5">
      <c r="C118" s="8"/>
      <c r="D118" s="84"/>
      <c r="E118" s="8"/>
    </row>
    <row r="119" spans="3:5" ht="12.5">
      <c r="C119" s="8"/>
      <c r="D119" s="84"/>
      <c r="E119" s="8"/>
    </row>
    <row r="120" spans="3:5" ht="12.5">
      <c r="C120" s="8"/>
      <c r="D120" s="84"/>
      <c r="E120" s="8"/>
    </row>
    <row r="121" spans="3:5" ht="12.5">
      <c r="C121" s="8"/>
      <c r="D121" s="84"/>
      <c r="E121" s="8"/>
    </row>
    <row r="122" spans="3:5" ht="12.5">
      <c r="C122" s="8"/>
      <c r="D122" s="84"/>
      <c r="E122" s="8"/>
    </row>
    <row r="123" spans="3:5" ht="12.5">
      <c r="C123" s="8"/>
      <c r="D123" s="84"/>
      <c r="E123" s="8"/>
    </row>
    <row r="124" spans="3:5" ht="12.5">
      <c r="C124" s="8"/>
      <c r="D124" s="84"/>
      <c r="E124" s="8"/>
    </row>
    <row r="125" spans="3:5" ht="12.5">
      <c r="C125" s="8"/>
      <c r="D125" s="84"/>
      <c r="E125" s="8"/>
    </row>
    <row r="126" spans="3:5" ht="12.5">
      <c r="C126" s="8"/>
      <c r="D126" s="84"/>
      <c r="E126" s="8"/>
    </row>
    <row r="127" spans="3:5" ht="12.5">
      <c r="C127" s="8"/>
      <c r="D127" s="84"/>
      <c r="E127" s="8"/>
    </row>
    <row r="128" spans="3:5" ht="12.5">
      <c r="C128" s="8"/>
      <c r="D128" s="84"/>
      <c r="E128" s="8"/>
    </row>
    <row r="129" spans="3:5" ht="12.5">
      <c r="C129" s="8"/>
      <c r="D129" s="84"/>
      <c r="E129" s="8"/>
    </row>
    <row r="130" spans="3:5" ht="12.5">
      <c r="C130" s="8"/>
      <c r="D130" s="84"/>
      <c r="E130" s="8"/>
    </row>
    <row r="131" spans="3:5" ht="12.5">
      <c r="C131" s="8"/>
      <c r="D131" s="84"/>
      <c r="E131" s="8"/>
    </row>
    <row r="132" spans="3:5" ht="12.5">
      <c r="C132" s="8"/>
      <c r="D132" s="84"/>
      <c r="E132" s="8"/>
    </row>
    <row r="133" spans="3:5" ht="12.5">
      <c r="C133" s="8"/>
      <c r="D133" s="84"/>
      <c r="E133" s="8"/>
    </row>
    <row r="134" spans="3:5" ht="12.5">
      <c r="C134" s="8"/>
      <c r="D134" s="84"/>
      <c r="E134" s="8"/>
    </row>
    <row r="135" spans="3:5" ht="12.5">
      <c r="C135" s="8"/>
      <c r="D135" s="84"/>
      <c r="E135" s="8"/>
    </row>
    <row r="136" spans="3:5" ht="12.5">
      <c r="C136" s="8"/>
      <c r="D136" s="84"/>
      <c r="E136" s="8"/>
    </row>
    <row r="137" spans="3:5" ht="12.5">
      <c r="C137" s="8"/>
      <c r="D137" s="84"/>
      <c r="E137" s="8"/>
    </row>
    <row r="138" spans="3:5" ht="12.5">
      <c r="C138" s="8"/>
      <c r="D138" s="84"/>
      <c r="E138" s="8"/>
    </row>
    <row r="139" spans="3:5" ht="12.5">
      <c r="C139" s="8"/>
      <c r="D139" s="84"/>
      <c r="E139" s="8"/>
    </row>
    <row r="140" spans="3:5" ht="12.5">
      <c r="C140" s="8"/>
      <c r="D140" s="84"/>
      <c r="E140" s="8"/>
    </row>
    <row r="141" spans="3:5" ht="12.5">
      <c r="C141" s="8"/>
      <c r="D141" s="84"/>
      <c r="E141" s="8"/>
    </row>
    <row r="142" spans="3:5" ht="12.5">
      <c r="C142" s="8"/>
      <c r="D142" s="84"/>
      <c r="E142" s="8"/>
    </row>
    <row r="143" spans="3:5" ht="12.5">
      <c r="C143" s="8"/>
      <c r="D143" s="84"/>
      <c r="E143" s="8"/>
    </row>
    <row r="144" spans="3:5" ht="12.5">
      <c r="C144" s="8"/>
      <c r="D144" s="84"/>
      <c r="E144" s="8"/>
    </row>
    <row r="145" spans="3:5" ht="12.5">
      <c r="C145" s="8"/>
      <c r="D145" s="84"/>
      <c r="E145" s="8"/>
    </row>
    <row r="146" spans="3:5" ht="12.5">
      <c r="C146" s="8"/>
      <c r="D146" s="84"/>
      <c r="E146" s="8"/>
    </row>
    <row r="147" spans="3:5" ht="12.5">
      <c r="C147" s="8"/>
      <c r="D147" s="84"/>
      <c r="E147" s="8"/>
    </row>
    <row r="148" spans="3:5" ht="12.5">
      <c r="C148" s="8"/>
      <c r="D148" s="84"/>
      <c r="E148" s="8"/>
    </row>
    <row r="149" spans="3:5" ht="12.5">
      <c r="C149" s="8"/>
      <c r="D149" s="84"/>
      <c r="E149" s="8"/>
    </row>
    <row r="150" spans="3:5" ht="12.5">
      <c r="C150" s="8"/>
      <c r="D150" s="84"/>
      <c r="E150" s="8"/>
    </row>
    <row r="151" spans="3:5" ht="12.5">
      <c r="C151" s="8"/>
      <c r="D151" s="84"/>
      <c r="E151" s="8"/>
    </row>
    <row r="152" spans="3:5" ht="12.5">
      <c r="C152" s="8"/>
      <c r="D152" s="84"/>
      <c r="E152" s="8"/>
    </row>
    <row r="153" spans="3:5" ht="12.5">
      <c r="C153" s="8"/>
      <c r="D153" s="84"/>
      <c r="E153" s="8"/>
    </row>
    <row r="154" spans="3:5" ht="12.5">
      <c r="C154" s="8"/>
      <c r="D154" s="84"/>
      <c r="E154" s="8"/>
    </row>
    <row r="155" spans="3:5" ht="12.5">
      <c r="C155" s="8"/>
      <c r="D155" s="84"/>
      <c r="E155" s="8"/>
    </row>
    <row r="156" spans="3:5" ht="12.5">
      <c r="C156" s="8"/>
      <c r="D156" s="84"/>
      <c r="E156" s="8"/>
    </row>
    <row r="157" spans="3:5" ht="12.5">
      <c r="C157" s="8"/>
      <c r="D157" s="84"/>
      <c r="E157" s="8"/>
    </row>
    <row r="158" spans="3:5" ht="12.5">
      <c r="C158" s="8"/>
      <c r="D158" s="84"/>
      <c r="E158" s="8"/>
    </row>
    <row r="159" spans="3:5" ht="12.5">
      <c r="C159" s="8"/>
      <c r="D159" s="84"/>
      <c r="E159" s="8"/>
    </row>
    <row r="160" spans="3:5" ht="12.5">
      <c r="C160" s="8"/>
      <c r="D160" s="84"/>
      <c r="E160" s="8"/>
    </row>
    <row r="161" spans="3:5" ht="12.5">
      <c r="C161" s="8"/>
      <c r="D161" s="84"/>
      <c r="E161" s="8"/>
    </row>
    <row r="162" spans="3:5" ht="12.5">
      <c r="C162" s="8"/>
      <c r="D162" s="84"/>
      <c r="E162" s="8"/>
    </row>
    <row r="163" spans="3:5" ht="12.5">
      <c r="C163" s="8"/>
      <c r="D163" s="84"/>
      <c r="E163" s="8"/>
    </row>
    <row r="164" spans="3:5" ht="12.5">
      <c r="C164" s="8"/>
      <c r="D164" s="84"/>
      <c r="E164" s="8"/>
    </row>
    <row r="165" spans="3:5" ht="12.5">
      <c r="C165" s="8"/>
      <c r="D165" s="84"/>
      <c r="E165" s="8"/>
    </row>
    <row r="166" spans="3:5" ht="12.5">
      <c r="C166" s="8"/>
      <c r="D166" s="84"/>
      <c r="E166" s="8"/>
    </row>
    <row r="167" spans="3:5" ht="12.5">
      <c r="C167" s="8"/>
      <c r="D167" s="84"/>
      <c r="E167" s="8"/>
    </row>
    <row r="168" spans="3:5" ht="12.5">
      <c r="C168" s="8"/>
      <c r="D168" s="84"/>
      <c r="E168" s="8"/>
    </row>
    <row r="169" spans="3:5" ht="12.5">
      <c r="C169" s="8"/>
      <c r="D169" s="84"/>
      <c r="E169" s="8"/>
    </row>
    <row r="170" spans="3:5" ht="12.5">
      <c r="C170" s="8"/>
      <c r="D170" s="84"/>
      <c r="E170" s="8"/>
    </row>
    <row r="171" spans="3:5" ht="12.5">
      <c r="C171" s="8"/>
      <c r="D171" s="84"/>
      <c r="E171" s="8"/>
    </row>
    <row r="172" spans="3:5" ht="12.5">
      <c r="C172" s="8"/>
      <c r="D172" s="84"/>
      <c r="E172" s="8"/>
    </row>
    <row r="173" spans="3:5" ht="12.5">
      <c r="C173" s="8"/>
      <c r="D173" s="84"/>
      <c r="E173" s="8"/>
    </row>
    <row r="174" spans="3:5" ht="12.5">
      <c r="C174" s="8"/>
      <c r="D174" s="84"/>
      <c r="E174" s="8"/>
    </row>
    <row r="175" spans="3:5" ht="12.5">
      <c r="C175" s="8"/>
      <c r="D175" s="84"/>
      <c r="E175" s="8"/>
    </row>
    <row r="176" spans="3:5" ht="12.5">
      <c r="C176" s="8"/>
      <c r="D176" s="84"/>
      <c r="E176" s="8"/>
    </row>
    <row r="177" spans="3:5" ht="12.5">
      <c r="C177" s="8"/>
      <c r="D177" s="84"/>
      <c r="E177" s="8"/>
    </row>
    <row r="178" spans="3:5" ht="12.5">
      <c r="C178" s="8"/>
      <c r="D178" s="84"/>
      <c r="E178" s="8"/>
    </row>
    <row r="179" spans="3:5" ht="12.5">
      <c r="C179" s="8"/>
      <c r="D179" s="84"/>
      <c r="E179" s="8"/>
    </row>
    <row r="180" spans="3:5" ht="12.5">
      <c r="C180" s="8"/>
      <c r="D180" s="84"/>
      <c r="E180" s="8"/>
    </row>
    <row r="181" spans="3:5" ht="12.5">
      <c r="C181" s="8"/>
      <c r="D181" s="84"/>
      <c r="E181" s="8"/>
    </row>
    <row r="182" spans="3:5" ht="12.5">
      <c r="C182" s="8"/>
      <c r="D182" s="84"/>
      <c r="E182" s="8"/>
    </row>
    <row r="183" spans="3:5" ht="12.5">
      <c r="C183" s="8"/>
      <c r="D183" s="84"/>
      <c r="E183" s="8"/>
    </row>
    <row r="184" spans="3:5" ht="12.5">
      <c r="C184" s="8"/>
      <c r="D184" s="84"/>
      <c r="E184" s="8"/>
    </row>
    <row r="185" spans="3:5" ht="12.5">
      <c r="C185" s="8"/>
      <c r="D185" s="84"/>
      <c r="E185" s="8"/>
    </row>
    <row r="186" spans="3:5" ht="12.5">
      <c r="C186" s="8"/>
      <c r="D186" s="84"/>
      <c r="E186" s="8"/>
    </row>
    <row r="187" spans="3:5" ht="12.5">
      <c r="C187" s="8"/>
      <c r="D187" s="84"/>
      <c r="E187" s="8"/>
    </row>
    <row r="188" spans="3:5" ht="12.5">
      <c r="C188" s="8"/>
      <c r="D188" s="84"/>
      <c r="E188" s="8"/>
    </row>
    <row r="189" spans="3:5" ht="12.5">
      <c r="C189" s="8"/>
      <c r="D189" s="84"/>
      <c r="E189" s="8"/>
    </row>
    <row r="190" spans="3:5" ht="12.5">
      <c r="C190" s="8"/>
      <c r="D190" s="84"/>
      <c r="E190" s="8"/>
    </row>
    <row r="191" spans="3:5" ht="12.5">
      <c r="C191" s="8"/>
      <c r="D191" s="84"/>
      <c r="E191" s="8"/>
    </row>
    <row r="192" spans="3:5" ht="12.5">
      <c r="C192" s="8"/>
      <c r="D192" s="84"/>
      <c r="E192" s="8"/>
    </row>
    <row r="193" spans="3:5" ht="12.5">
      <c r="C193" s="8"/>
      <c r="D193" s="84"/>
      <c r="E193" s="8"/>
    </row>
    <row r="194" spans="3:5" ht="12.5">
      <c r="C194" s="8"/>
      <c r="D194" s="84"/>
      <c r="E194" s="8"/>
    </row>
    <row r="195" spans="3:5" ht="12.5">
      <c r="C195" s="8"/>
      <c r="D195" s="84"/>
      <c r="E195" s="8"/>
    </row>
    <row r="196" spans="3:5" ht="12.5">
      <c r="C196" s="8"/>
      <c r="D196" s="84"/>
      <c r="E196" s="8"/>
    </row>
    <row r="197" spans="3:5" ht="12.5">
      <c r="C197" s="8"/>
      <c r="D197" s="84"/>
      <c r="E197" s="8"/>
    </row>
    <row r="198" spans="3:5" ht="12.5">
      <c r="C198" s="8"/>
      <c r="D198" s="84"/>
      <c r="E198" s="8"/>
    </row>
    <row r="199" spans="3:5" ht="12.5">
      <c r="C199" s="8"/>
      <c r="D199" s="84"/>
      <c r="E199" s="8"/>
    </row>
    <row r="200" spans="3:5" ht="12.5">
      <c r="C200" s="8"/>
      <c r="D200" s="84"/>
      <c r="E200" s="8"/>
    </row>
    <row r="201" spans="3:5" ht="12.5">
      <c r="C201" s="8"/>
      <c r="D201" s="84"/>
      <c r="E201" s="8"/>
    </row>
    <row r="202" spans="3:5" ht="12.5">
      <c r="C202" s="8"/>
      <c r="D202" s="84"/>
      <c r="E202" s="8"/>
    </row>
    <row r="203" spans="3:5" ht="12.5">
      <c r="C203" s="8"/>
      <c r="D203" s="84"/>
      <c r="E203" s="8"/>
    </row>
    <row r="204" spans="3:5" ht="12.5">
      <c r="C204" s="8"/>
      <c r="D204" s="84"/>
      <c r="E204" s="8"/>
    </row>
    <row r="205" spans="3:5" ht="12.5">
      <c r="C205" s="8"/>
      <c r="D205" s="84"/>
      <c r="E205" s="8"/>
    </row>
    <row r="206" spans="3:5" ht="12.5">
      <c r="C206" s="8"/>
      <c r="D206" s="84"/>
      <c r="E206" s="8"/>
    </row>
    <row r="207" spans="3:5" ht="12.5">
      <c r="C207" s="8"/>
      <c r="D207" s="84"/>
      <c r="E207" s="8"/>
    </row>
    <row r="208" spans="3:5" ht="12.5">
      <c r="C208" s="8"/>
      <c r="D208" s="84"/>
      <c r="E208" s="8"/>
    </row>
    <row r="209" spans="3:5" ht="12.5">
      <c r="C209" s="8"/>
      <c r="D209" s="84"/>
      <c r="E209" s="8"/>
    </row>
    <row r="210" spans="3:5" ht="12.5">
      <c r="C210" s="8"/>
      <c r="D210" s="84"/>
      <c r="E210" s="8"/>
    </row>
    <row r="211" spans="3:5" ht="12.5">
      <c r="C211" s="8"/>
      <c r="D211" s="84"/>
      <c r="E211" s="8"/>
    </row>
    <row r="212" spans="3:5" ht="12.5">
      <c r="C212" s="8"/>
      <c r="D212" s="84"/>
      <c r="E212" s="8"/>
    </row>
    <row r="213" spans="3:5" ht="12.5">
      <c r="C213" s="8"/>
      <c r="D213" s="84"/>
      <c r="E213" s="8"/>
    </row>
    <row r="214" spans="3:5" ht="12.5">
      <c r="C214" s="8"/>
      <c r="D214" s="84"/>
      <c r="E214" s="8"/>
    </row>
    <row r="215" spans="3:5" ht="12.5">
      <c r="C215" s="8"/>
      <c r="D215" s="84"/>
      <c r="E215" s="8"/>
    </row>
    <row r="216" spans="3:5" ht="12.5">
      <c r="C216" s="8"/>
      <c r="D216" s="84"/>
      <c r="E216" s="8"/>
    </row>
    <row r="217" spans="3:5" ht="12.5">
      <c r="C217" s="8"/>
      <c r="D217" s="84"/>
      <c r="E217" s="8"/>
    </row>
    <row r="218" spans="3:5" ht="12.5">
      <c r="C218" s="8"/>
      <c r="D218" s="84"/>
      <c r="E218" s="8"/>
    </row>
    <row r="219" spans="3:5" ht="12.5">
      <c r="C219" s="8"/>
      <c r="D219" s="84"/>
      <c r="E219" s="8"/>
    </row>
    <row r="220" spans="3:5" ht="12.5">
      <c r="C220" s="8"/>
      <c r="D220" s="84"/>
      <c r="E220" s="8"/>
    </row>
    <row r="221" spans="3:5" ht="12.5">
      <c r="C221" s="8"/>
      <c r="D221" s="84"/>
      <c r="E221" s="8"/>
    </row>
    <row r="222" spans="3:5" ht="12.5">
      <c r="C222" s="8"/>
      <c r="D222" s="84"/>
      <c r="E222" s="8"/>
    </row>
    <row r="223" spans="3:5" ht="12.5">
      <c r="C223" s="8"/>
      <c r="D223" s="84"/>
      <c r="E223" s="8"/>
    </row>
    <row r="224" spans="3:5" ht="12.5">
      <c r="C224" s="8"/>
      <c r="D224" s="84"/>
      <c r="E224" s="8"/>
    </row>
    <row r="225" spans="3:5" ht="12.5">
      <c r="C225" s="8"/>
      <c r="D225" s="84"/>
      <c r="E225" s="8"/>
    </row>
    <row r="226" spans="3:5" ht="12.5">
      <c r="C226" s="8"/>
      <c r="D226" s="84"/>
      <c r="E226" s="8"/>
    </row>
    <row r="227" spans="3:5" ht="12.5">
      <c r="C227" s="8"/>
      <c r="D227" s="84"/>
      <c r="E227" s="8"/>
    </row>
    <row r="228" spans="3:5" ht="12.5">
      <c r="C228" s="8"/>
      <c r="D228" s="84"/>
      <c r="E228" s="8"/>
    </row>
    <row r="229" spans="3:5" ht="12.5">
      <c r="C229" s="8"/>
      <c r="D229" s="84"/>
      <c r="E229" s="8"/>
    </row>
    <row r="230" spans="3:5" ht="12.5">
      <c r="C230" s="8"/>
      <c r="D230" s="84"/>
      <c r="E230" s="8"/>
    </row>
    <row r="231" spans="3:5" ht="12.5">
      <c r="C231" s="8"/>
      <c r="D231" s="84"/>
      <c r="E231" s="8"/>
    </row>
    <row r="232" spans="3:5" ht="12.5">
      <c r="C232" s="8"/>
      <c r="D232" s="84"/>
      <c r="E232" s="8"/>
    </row>
    <row r="233" spans="3:5" ht="12.5">
      <c r="C233" s="8"/>
      <c r="D233" s="84"/>
      <c r="E233" s="8"/>
    </row>
    <row r="234" spans="3:5" ht="12.5">
      <c r="C234" s="8"/>
      <c r="D234" s="84"/>
      <c r="E234" s="8"/>
    </row>
    <row r="235" spans="3:5" ht="12.5">
      <c r="C235" s="8"/>
      <c r="D235" s="84"/>
      <c r="E235" s="8"/>
    </row>
    <row r="236" spans="3:5" ht="12.5">
      <c r="C236" s="8"/>
      <c r="D236" s="84"/>
      <c r="E236" s="8"/>
    </row>
    <row r="237" spans="3:5" ht="12.5">
      <c r="C237" s="8"/>
      <c r="D237" s="84"/>
      <c r="E237" s="8"/>
    </row>
    <row r="238" spans="3:5" ht="12.5">
      <c r="C238" s="8"/>
      <c r="D238" s="84"/>
      <c r="E238" s="8"/>
    </row>
    <row r="239" spans="3:5" ht="12.5">
      <c r="C239" s="8"/>
      <c r="D239" s="84"/>
      <c r="E239" s="8"/>
    </row>
    <row r="240" spans="3:5" ht="12.5">
      <c r="C240" s="8"/>
      <c r="D240" s="84"/>
      <c r="E240" s="8"/>
    </row>
    <row r="241" spans="3:5" ht="12.5">
      <c r="C241" s="8"/>
      <c r="D241" s="84"/>
      <c r="E241" s="8"/>
    </row>
    <row r="242" spans="3:5" ht="12.5">
      <c r="C242" s="8"/>
      <c r="D242" s="84"/>
      <c r="E242" s="8"/>
    </row>
    <row r="243" spans="3:5" ht="12.5">
      <c r="C243" s="8"/>
      <c r="D243" s="84"/>
      <c r="E243" s="8"/>
    </row>
    <row r="244" spans="3:5" ht="12.5">
      <c r="C244" s="8"/>
      <c r="D244" s="84"/>
      <c r="E244" s="8"/>
    </row>
    <row r="245" spans="3:5" ht="12.5">
      <c r="C245" s="8"/>
      <c r="D245" s="84"/>
      <c r="E245" s="8"/>
    </row>
    <row r="246" spans="3:5" ht="12.5">
      <c r="C246" s="8"/>
      <c r="D246" s="84"/>
      <c r="E246" s="8"/>
    </row>
    <row r="247" spans="3:5" ht="12.5">
      <c r="C247" s="8"/>
      <c r="D247" s="84"/>
      <c r="E247" s="8"/>
    </row>
    <row r="248" spans="3:5" ht="12.5">
      <c r="C248" s="8"/>
      <c r="D248" s="84"/>
      <c r="E248" s="8"/>
    </row>
    <row r="249" spans="3:5" ht="12.5">
      <c r="C249" s="8"/>
      <c r="D249" s="84"/>
      <c r="E249" s="8"/>
    </row>
    <row r="250" spans="3:5" ht="12.5">
      <c r="C250" s="8"/>
      <c r="D250" s="84"/>
      <c r="E250" s="8"/>
    </row>
    <row r="251" spans="3:5" ht="12.5">
      <c r="C251" s="8"/>
      <c r="D251" s="84"/>
      <c r="E251" s="8"/>
    </row>
    <row r="252" spans="3:5" ht="12.5">
      <c r="C252" s="8"/>
      <c r="D252" s="84"/>
      <c r="E252" s="8"/>
    </row>
    <row r="253" spans="3:5" ht="12.5">
      <c r="C253" s="8"/>
      <c r="D253" s="84"/>
      <c r="E253" s="8"/>
    </row>
    <row r="254" spans="3:5" ht="12.5">
      <c r="C254" s="8"/>
      <c r="D254" s="84"/>
      <c r="E254" s="8"/>
    </row>
    <row r="255" spans="3:5" ht="12.5">
      <c r="C255" s="8"/>
      <c r="D255" s="84"/>
      <c r="E255" s="8"/>
    </row>
    <row r="256" spans="3:5" ht="12.5">
      <c r="C256" s="8"/>
      <c r="D256" s="84"/>
      <c r="E256" s="8"/>
    </row>
    <row r="257" spans="3:5" ht="12.5">
      <c r="C257" s="8"/>
      <c r="D257" s="84"/>
      <c r="E257" s="8"/>
    </row>
    <row r="258" spans="3:5" ht="12.5">
      <c r="C258" s="8"/>
      <c r="D258" s="84"/>
      <c r="E258" s="8"/>
    </row>
    <row r="259" spans="3:5" ht="12.5">
      <c r="C259" s="8"/>
      <c r="D259" s="84"/>
      <c r="E259" s="8"/>
    </row>
    <row r="260" spans="3:5" ht="12.5">
      <c r="C260" s="8"/>
      <c r="D260" s="84"/>
      <c r="E260" s="8"/>
    </row>
    <row r="261" spans="3:5" ht="12.5">
      <c r="C261" s="8"/>
      <c r="D261" s="84"/>
      <c r="E261" s="8"/>
    </row>
    <row r="262" spans="3:5" ht="12.5">
      <c r="C262" s="8"/>
      <c r="D262" s="84"/>
      <c r="E262" s="8"/>
    </row>
    <row r="263" spans="3:5" ht="12.5">
      <c r="C263" s="8"/>
      <c r="D263" s="84"/>
      <c r="E263" s="8"/>
    </row>
    <row r="264" spans="3:5" ht="12.5">
      <c r="C264" s="8"/>
      <c r="D264" s="84"/>
      <c r="E264" s="8"/>
    </row>
    <row r="265" spans="3:5" ht="12.5">
      <c r="C265" s="8"/>
      <c r="D265" s="84"/>
      <c r="E265" s="8"/>
    </row>
    <row r="266" spans="3:5" ht="12.5">
      <c r="C266" s="8"/>
      <c r="D266" s="84"/>
      <c r="E266" s="8"/>
    </row>
    <row r="267" spans="3:5" ht="12.5">
      <c r="C267" s="8"/>
      <c r="D267" s="84"/>
      <c r="E267" s="8"/>
    </row>
    <row r="268" spans="3:5" ht="12.5">
      <c r="C268" s="8"/>
      <c r="D268" s="84"/>
      <c r="E268" s="8"/>
    </row>
    <row r="269" spans="3:5" ht="12.5">
      <c r="C269" s="8"/>
      <c r="D269" s="84"/>
      <c r="E269" s="8"/>
    </row>
    <row r="270" spans="3:5" ht="12.5">
      <c r="C270" s="8"/>
      <c r="D270" s="84"/>
      <c r="E270" s="8"/>
    </row>
    <row r="271" spans="3:5" ht="12.5">
      <c r="C271" s="8"/>
      <c r="D271" s="84"/>
      <c r="E271" s="8"/>
    </row>
    <row r="272" spans="3:5" ht="12.5">
      <c r="C272" s="8"/>
      <c r="D272" s="84"/>
      <c r="E272" s="8"/>
    </row>
    <row r="273" spans="3:5" ht="12.5">
      <c r="C273" s="8"/>
      <c r="D273" s="84"/>
      <c r="E273" s="8"/>
    </row>
    <row r="274" spans="3:5" ht="12.5">
      <c r="C274" s="8"/>
      <c r="D274" s="84"/>
      <c r="E274" s="8"/>
    </row>
    <row r="275" spans="3:5" ht="12.5">
      <c r="C275" s="8"/>
      <c r="D275" s="84"/>
      <c r="E275" s="8"/>
    </row>
    <row r="276" spans="3:5" ht="12.5">
      <c r="C276" s="8"/>
      <c r="D276" s="84"/>
      <c r="E276" s="8"/>
    </row>
    <row r="277" spans="3:5" ht="12.5">
      <c r="C277" s="8"/>
      <c r="D277" s="84"/>
      <c r="E277" s="8"/>
    </row>
    <row r="278" spans="3:5" ht="12.5">
      <c r="C278" s="8"/>
      <c r="D278" s="84"/>
      <c r="E278" s="8"/>
    </row>
    <row r="279" spans="3:5" ht="12.5">
      <c r="C279" s="8"/>
      <c r="D279" s="84"/>
      <c r="E279" s="8"/>
    </row>
    <row r="280" spans="3:5" ht="12.5">
      <c r="C280" s="8"/>
      <c r="D280" s="84"/>
      <c r="E280" s="8"/>
    </row>
    <row r="281" spans="3:5" ht="12.5">
      <c r="C281" s="8"/>
      <c r="D281" s="84"/>
      <c r="E281" s="8"/>
    </row>
    <row r="282" spans="3:5" ht="12.5">
      <c r="C282" s="8"/>
      <c r="D282" s="84"/>
      <c r="E282" s="8"/>
    </row>
    <row r="283" spans="3:5" ht="12.5">
      <c r="C283" s="8"/>
      <c r="D283" s="84"/>
      <c r="E283" s="8"/>
    </row>
    <row r="284" spans="3:5" ht="12.5">
      <c r="C284" s="8"/>
      <c r="D284" s="84"/>
      <c r="E284" s="8"/>
    </row>
    <row r="285" spans="3:5" ht="12.5">
      <c r="C285" s="8"/>
      <c r="D285" s="84"/>
      <c r="E285" s="8"/>
    </row>
    <row r="286" spans="3:5" ht="12.5">
      <c r="C286" s="8"/>
      <c r="D286" s="84"/>
      <c r="E286" s="8"/>
    </row>
    <row r="287" spans="3:5" ht="12.5">
      <c r="C287" s="8"/>
      <c r="D287" s="84"/>
      <c r="E287" s="8"/>
    </row>
    <row r="288" spans="3:5" ht="12.5">
      <c r="C288" s="8"/>
      <c r="D288" s="84"/>
      <c r="E288" s="8"/>
    </row>
    <row r="289" spans="3:5" ht="12.5">
      <c r="C289" s="8"/>
      <c r="D289" s="84"/>
      <c r="E289" s="8"/>
    </row>
    <row r="290" spans="3:5" ht="12.5">
      <c r="C290" s="8"/>
      <c r="D290" s="84"/>
      <c r="E290" s="8"/>
    </row>
    <row r="291" spans="3:5" ht="12.5">
      <c r="C291" s="8"/>
      <c r="D291" s="84"/>
      <c r="E291" s="8"/>
    </row>
    <row r="292" spans="3:5" ht="12.5">
      <c r="C292" s="8"/>
      <c r="D292" s="84"/>
      <c r="E292" s="8"/>
    </row>
    <row r="293" spans="3:5" ht="12.5">
      <c r="C293" s="8"/>
      <c r="D293" s="84"/>
      <c r="E293" s="8"/>
    </row>
    <row r="294" spans="3:5" ht="12.5">
      <c r="C294" s="8"/>
      <c r="D294" s="84"/>
      <c r="E294" s="8"/>
    </row>
    <row r="295" spans="3:5" ht="12.5">
      <c r="C295" s="8"/>
      <c r="D295" s="84"/>
      <c r="E295" s="8"/>
    </row>
    <row r="296" spans="3:5" ht="12.5">
      <c r="C296" s="8"/>
      <c r="D296" s="84"/>
      <c r="E296" s="8"/>
    </row>
    <row r="297" spans="3:5" ht="12.5">
      <c r="C297" s="8"/>
      <c r="D297" s="84"/>
      <c r="E297" s="8"/>
    </row>
    <row r="298" spans="3:5" ht="12.5">
      <c r="C298" s="8"/>
      <c r="D298" s="84"/>
      <c r="E298" s="8"/>
    </row>
    <row r="299" spans="3:5" ht="12.5">
      <c r="C299" s="8"/>
      <c r="D299" s="84"/>
      <c r="E299" s="8"/>
    </row>
    <row r="300" spans="3:5" ht="12.5">
      <c r="C300" s="8"/>
      <c r="D300" s="84"/>
      <c r="E300" s="8"/>
    </row>
    <row r="301" spans="3:5" ht="12.5">
      <c r="C301" s="8"/>
      <c r="D301" s="84"/>
      <c r="E301" s="8"/>
    </row>
    <row r="302" spans="3:5" ht="12.5">
      <c r="C302" s="8"/>
      <c r="D302" s="84"/>
      <c r="E302" s="8"/>
    </row>
    <row r="303" spans="3:5" ht="12.5">
      <c r="C303" s="8"/>
      <c r="D303" s="84"/>
      <c r="E303" s="8"/>
    </row>
    <row r="304" spans="3:5" ht="12.5">
      <c r="C304" s="8"/>
      <c r="D304" s="84"/>
      <c r="E304" s="8"/>
    </row>
    <row r="305" spans="3:5" ht="12.5">
      <c r="C305" s="8"/>
      <c r="D305" s="84"/>
      <c r="E305" s="8"/>
    </row>
    <row r="306" spans="3:5" ht="12.5">
      <c r="C306" s="8"/>
      <c r="D306" s="84"/>
      <c r="E306" s="8"/>
    </row>
    <row r="307" spans="3:5" ht="12.5">
      <c r="C307" s="8"/>
      <c r="D307" s="84"/>
      <c r="E307" s="8"/>
    </row>
    <row r="308" spans="3:5" ht="12.5">
      <c r="C308" s="8"/>
      <c r="D308" s="84"/>
      <c r="E308" s="8"/>
    </row>
    <row r="309" spans="3:5" ht="12.5">
      <c r="C309" s="8"/>
      <c r="D309" s="84"/>
      <c r="E309" s="8"/>
    </row>
    <row r="310" spans="3:5" ht="12.5">
      <c r="C310" s="8"/>
      <c r="D310" s="84"/>
      <c r="E310" s="8"/>
    </row>
    <row r="311" spans="3:5" ht="12.5">
      <c r="C311" s="8"/>
      <c r="D311" s="84"/>
      <c r="E311" s="8"/>
    </row>
    <row r="312" spans="3:5" ht="12.5">
      <c r="C312" s="8"/>
      <c r="D312" s="84"/>
      <c r="E312" s="8"/>
    </row>
    <row r="313" spans="3:5" ht="12.5">
      <c r="C313" s="8"/>
      <c r="D313" s="84"/>
      <c r="E313" s="8"/>
    </row>
    <row r="314" spans="3:5" ht="12.5">
      <c r="C314" s="8"/>
      <c r="D314" s="84"/>
      <c r="E314" s="8"/>
    </row>
    <row r="315" spans="3:5" ht="12.5">
      <c r="C315" s="8"/>
      <c r="D315" s="84"/>
      <c r="E315" s="8"/>
    </row>
    <row r="316" spans="3:5" ht="12.5">
      <c r="C316" s="8"/>
      <c r="D316" s="84"/>
      <c r="E316" s="8"/>
    </row>
    <row r="317" spans="3:5" ht="12.5">
      <c r="C317" s="8"/>
      <c r="D317" s="84"/>
      <c r="E317" s="8"/>
    </row>
    <row r="318" spans="3:5" ht="12.5">
      <c r="C318" s="8"/>
      <c r="D318" s="84"/>
      <c r="E318" s="8"/>
    </row>
    <row r="319" spans="3:5" ht="12.5">
      <c r="C319" s="8"/>
      <c r="D319" s="84"/>
      <c r="E319" s="8"/>
    </row>
    <row r="320" spans="3:5" ht="12.5">
      <c r="C320" s="8"/>
      <c r="D320" s="84"/>
      <c r="E320" s="8"/>
    </row>
    <row r="321" spans="3:5" ht="12.5">
      <c r="C321" s="8"/>
      <c r="D321" s="84"/>
      <c r="E321" s="8"/>
    </row>
    <row r="322" spans="3:5" ht="12.5">
      <c r="C322" s="8"/>
      <c r="D322" s="84"/>
      <c r="E322" s="8"/>
    </row>
    <row r="323" spans="3:5" ht="12.5">
      <c r="C323" s="8"/>
      <c r="D323" s="84"/>
      <c r="E323" s="8"/>
    </row>
    <row r="324" spans="3:5" ht="12.5">
      <c r="C324" s="8"/>
      <c r="D324" s="84"/>
      <c r="E324" s="8"/>
    </row>
    <row r="325" spans="3:5" ht="12.5">
      <c r="C325" s="8"/>
      <c r="D325" s="84"/>
      <c r="E325" s="8"/>
    </row>
    <row r="326" spans="3:5" ht="12.5">
      <c r="C326" s="8"/>
      <c r="D326" s="84"/>
      <c r="E326" s="8"/>
    </row>
    <row r="327" spans="3:5" ht="12.5">
      <c r="C327" s="8"/>
      <c r="D327" s="84"/>
      <c r="E327" s="8"/>
    </row>
    <row r="328" spans="3:5" ht="12.5">
      <c r="C328" s="8"/>
      <c r="D328" s="84"/>
      <c r="E328" s="8"/>
    </row>
    <row r="329" spans="3:5" ht="12.5">
      <c r="C329" s="8"/>
      <c r="D329" s="84"/>
      <c r="E329" s="8"/>
    </row>
    <row r="330" spans="3:5" ht="12.5">
      <c r="C330" s="8"/>
      <c r="D330" s="84"/>
      <c r="E330" s="8"/>
    </row>
    <row r="331" spans="3:5" ht="12.5">
      <c r="C331" s="8"/>
      <c r="D331" s="84"/>
      <c r="E331" s="8"/>
    </row>
    <row r="332" spans="3:5" ht="12.5">
      <c r="C332" s="8"/>
      <c r="D332" s="84"/>
      <c r="E332" s="8"/>
    </row>
    <row r="333" spans="3:5" ht="12.5">
      <c r="C333" s="8"/>
      <c r="D333" s="84"/>
      <c r="E333" s="8"/>
    </row>
    <row r="334" spans="3:5" ht="12.5">
      <c r="C334" s="8"/>
      <c r="D334" s="84"/>
      <c r="E334" s="8"/>
    </row>
    <row r="335" spans="3:5" ht="12.5">
      <c r="C335" s="8"/>
      <c r="D335" s="84"/>
      <c r="E335" s="8"/>
    </row>
    <row r="336" spans="3:5" ht="12.5">
      <c r="C336" s="8"/>
      <c r="D336" s="84"/>
      <c r="E336" s="8"/>
    </row>
    <row r="337" spans="3:5" ht="12.5">
      <c r="C337" s="8"/>
      <c r="D337" s="84"/>
      <c r="E337" s="8"/>
    </row>
    <row r="338" spans="3:5" ht="12.5">
      <c r="C338" s="8"/>
      <c r="D338" s="84"/>
      <c r="E338" s="8"/>
    </row>
    <row r="339" spans="3:5" ht="12.5">
      <c r="C339" s="8"/>
      <c r="D339" s="84"/>
      <c r="E339" s="8"/>
    </row>
    <row r="340" spans="3:5" ht="12.5">
      <c r="C340" s="8"/>
      <c r="D340" s="84"/>
      <c r="E340" s="8"/>
    </row>
    <row r="341" spans="3:5" ht="12.5">
      <c r="C341" s="8"/>
      <c r="D341" s="84"/>
      <c r="E341" s="8"/>
    </row>
    <row r="342" spans="3:5" ht="12.5">
      <c r="C342" s="8"/>
      <c r="D342" s="84"/>
      <c r="E342" s="8"/>
    </row>
    <row r="343" spans="3:5" ht="12.5">
      <c r="C343" s="8"/>
      <c r="D343" s="84"/>
      <c r="E343" s="8"/>
    </row>
    <row r="344" spans="3:5" ht="12.5">
      <c r="C344" s="8"/>
      <c r="D344" s="84"/>
      <c r="E344" s="8"/>
    </row>
    <row r="345" spans="3:5" ht="12.5">
      <c r="C345" s="8"/>
      <c r="D345" s="84"/>
      <c r="E345" s="8"/>
    </row>
    <row r="346" spans="3:5" ht="12.5">
      <c r="C346" s="8"/>
      <c r="D346" s="84"/>
      <c r="E346" s="8"/>
    </row>
    <row r="347" spans="3:5" ht="12.5">
      <c r="C347" s="8"/>
      <c r="D347" s="84"/>
      <c r="E347" s="8"/>
    </row>
    <row r="348" spans="3:5" ht="12.5">
      <c r="C348" s="8"/>
      <c r="D348" s="84"/>
      <c r="E348" s="8"/>
    </row>
    <row r="349" spans="3:5" ht="12.5">
      <c r="C349" s="8"/>
      <c r="D349" s="84"/>
      <c r="E349" s="8"/>
    </row>
    <row r="350" spans="3:5" ht="12.5">
      <c r="C350" s="8"/>
      <c r="D350" s="84"/>
      <c r="E350" s="8"/>
    </row>
    <row r="351" spans="3:5" ht="12.5">
      <c r="C351" s="8"/>
      <c r="D351" s="84"/>
      <c r="E351" s="8"/>
    </row>
    <row r="352" spans="3:5" ht="12.5">
      <c r="C352" s="8"/>
      <c r="D352" s="84"/>
      <c r="E352" s="8"/>
    </row>
    <row r="353" spans="3:5" ht="12.5">
      <c r="C353" s="8"/>
      <c r="D353" s="84"/>
      <c r="E353" s="8"/>
    </row>
    <row r="354" spans="3:5" ht="12.5">
      <c r="C354" s="8"/>
      <c r="D354" s="84"/>
      <c r="E354" s="8"/>
    </row>
    <row r="355" spans="3:5" ht="12.5">
      <c r="C355" s="8"/>
      <c r="D355" s="84"/>
      <c r="E355" s="8"/>
    </row>
    <row r="356" spans="3:5" ht="12.5">
      <c r="C356" s="8"/>
      <c r="D356" s="84"/>
      <c r="E356" s="8"/>
    </row>
    <row r="357" spans="3:5" ht="12.5">
      <c r="C357" s="8"/>
      <c r="D357" s="84"/>
      <c r="E357" s="8"/>
    </row>
    <row r="358" spans="3:5" ht="12.5">
      <c r="C358" s="8"/>
      <c r="D358" s="84"/>
      <c r="E358" s="8"/>
    </row>
    <row r="359" spans="3:5" ht="12.5">
      <c r="C359" s="8"/>
      <c r="D359" s="84"/>
      <c r="E359" s="8"/>
    </row>
    <row r="360" spans="3:5" ht="12.5">
      <c r="C360" s="8"/>
      <c r="D360" s="84"/>
      <c r="E360" s="8"/>
    </row>
    <row r="361" spans="3:5" ht="12.5">
      <c r="C361" s="8"/>
      <c r="D361" s="84"/>
      <c r="E361" s="8"/>
    </row>
    <row r="362" spans="3:5" ht="12.5">
      <c r="C362" s="8"/>
      <c r="D362" s="84"/>
      <c r="E362" s="8"/>
    </row>
    <row r="363" spans="3:5" ht="12.5">
      <c r="C363" s="8"/>
      <c r="D363" s="84"/>
      <c r="E363" s="8"/>
    </row>
    <row r="364" spans="3:5" ht="12.5">
      <c r="C364" s="8"/>
      <c r="D364" s="84"/>
      <c r="E364" s="8"/>
    </row>
    <row r="365" spans="3:5" ht="12.5">
      <c r="C365" s="8"/>
      <c r="D365" s="84"/>
      <c r="E365" s="8"/>
    </row>
    <row r="366" spans="3:5" ht="12.5">
      <c r="C366" s="8"/>
      <c r="D366" s="84"/>
      <c r="E366" s="8"/>
    </row>
    <row r="367" spans="3:5" ht="12.5">
      <c r="C367" s="8"/>
      <c r="D367" s="84"/>
      <c r="E367" s="8"/>
    </row>
    <row r="368" spans="3:5" ht="12.5">
      <c r="C368" s="8"/>
      <c r="D368" s="84"/>
      <c r="E368" s="8"/>
    </row>
    <row r="369" spans="3:5" ht="12.5">
      <c r="C369" s="8"/>
      <c r="D369" s="84"/>
      <c r="E369" s="8"/>
    </row>
    <row r="370" spans="3:5" ht="12.5">
      <c r="C370" s="8"/>
      <c r="D370" s="84"/>
      <c r="E370" s="8"/>
    </row>
    <row r="371" spans="3:5" ht="12.5">
      <c r="C371" s="8"/>
      <c r="D371" s="84"/>
      <c r="E371" s="8"/>
    </row>
    <row r="372" spans="3:5" ht="12.5">
      <c r="C372" s="8"/>
      <c r="D372" s="84"/>
      <c r="E372" s="8"/>
    </row>
    <row r="373" spans="3:5" ht="12.5">
      <c r="C373" s="8"/>
      <c r="D373" s="84"/>
      <c r="E373" s="8"/>
    </row>
    <row r="374" spans="3:5" ht="12.5">
      <c r="C374" s="8"/>
      <c r="D374" s="84"/>
      <c r="E374" s="8"/>
    </row>
    <row r="375" spans="3:5" ht="12.5">
      <c r="C375" s="8"/>
      <c r="D375" s="84"/>
      <c r="E375" s="8"/>
    </row>
    <row r="376" spans="3:5" ht="12.5">
      <c r="C376" s="8"/>
      <c r="D376" s="84"/>
      <c r="E376" s="8"/>
    </row>
    <row r="377" spans="3:5" ht="12.5">
      <c r="C377" s="8"/>
      <c r="D377" s="84"/>
      <c r="E377" s="8"/>
    </row>
    <row r="378" spans="3:5" ht="12.5">
      <c r="C378" s="8"/>
      <c r="D378" s="84"/>
      <c r="E378" s="8"/>
    </row>
    <row r="379" spans="3:5" ht="12.5">
      <c r="C379" s="8"/>
      <c r="D379" s="84"/>
      <c r="E379" s="8"/>
    </row>
    <row r="380" spans="3:5" ht="12.5">
      <c r="C380" s="8"/>
      <c r="D380" s="84"/>
      <c r="E380" s="8"/>
    </row>
    <row r="381" spans="3:5" ht="12.5">
      <c r="C381" s="8"/>
      <c r="D381" s="84"/>
      <c r="E381" s="8"/>
    </row>
    <row r="382" spans="3:5" ht="12.5">
      <c r="C382" s="8"/>
      <c r="D382" s="84"/>
      <c r="E382" s="8"/>
    </row>
    <row r="383" spans="3:5" ht="12.5">
      <c r="C383" s="8"/>
      <c r="D383" s="84"/>
      <c r="E383" s="8"/>
    </row>
    <row r="384" spans="3:5" ht="12.5">
      <c r="C384" s="8"/>
      <c r="D384" s="84"/>
      <c r="E384" s="8"/>
    </row>
    <row r="385" spans="3:5" ht="12.5">
      <c r="C385" s="8"/>
      <c r="D385" s="84"/>
      <c r="E385" s="8"/>
    </row>
    <row r="386" spans="3:5" ht="12.5">
      <c r="C386" s="8"/>
      <c r="D386" s="84"/>
      <c r="E386" s="8"/>
    </row>
    <row r="387" spans="3:5" ht="12.5">
      <c r="C387" s="8"/>
      <c r="D387" s="84"/>
      <c r="E387" s="8"/>
    </row>
    <row r="388" spans="3:5" ht="12.5">
      <c r="C388" s="8"/>
      <c r="D388" s="84"/>
      <c r="E388" s="8"/>
    </row>
    <row r="389" spans="3:5" ht="12.5">
      <c r="C389" s="8"/>
      <c r="D389" s="84"/>
      <c r="E389" s="8"/>
    </row>
    <row r="390" spans="3:5" ht="12.5">
      <c r="C390" s="8"/>
      <c r="D390" s="84"/>
      <c r="E390" s="8"/>
    </row>
    <row r="391" spans="3:5" ht="12.5">
      <c r="C391" s="8"/>
      <c r="D391" s="84"/>
      <c r="E391" s="8"/>
    </row>
    <row r="392" spans="3:5" ht="12.5">
      <c r="C392" s="8"/>
      <c r="D392" s="84"/>
      <c r="E392" s="8"/>
    </row>
    <row r="393" spans="3:5" ht="12.5">
      <c r="C393" s="8"/>
      <c r="D393" s="84"/>
      <c r="E393" s="8"/>
    </row>
    <row r="394" spans="3:5" ht="12.5">
      <c r="C394" s="8"/>
      <c r="D394" s="84"/>
      <c r="E394" s="8"/>
    </row>
    <row r="395" spans="3:5" ht="12.5">
      <c r="C395" s="8"/>
      <c r="D395" s="84"/>
      <c r="E395" s="8"/>
    </row>
    <row r="396" spans="3:5" ht="12.5">
      <c r="C396" s="8"/>
      <c r="D396" s="84"/>
      <c r="E396" s="8"/>
    </row>
    <row r="397" spans="3:5" ht="12.5">
      <c r="C397" s="8"/>
      <c r="D397" s="84"/>
      <c r="E397" s="8"/>
    </row>
    <row r="398" spans="3:5" ht="12.5">
      <c r="C398" s="8"/>
      <c r="D398" s="84"/>
      <c r="E398" s="8"/>
    </row>
    <row r="399" spans="3:5" ht="12.5">
      <c r="C399" s="8"/>
      <c r="D399" s="84"/>
      <c r="E399" s="8"/>
    </row>
    <row r="400" spans="3:5" ht="12.5">
      <c r="C400" s="8"/>
      <c r="D400" s="84"/>
      <c r="E400" s="8"/>
    </row>
    <row r="401" spans="3:5" ht="12.5">
      <c r="C401" s="8"/>
      <c r="D401" s="84"/>
      <c r="E401" s="8"/>
    </row>
    <row r="402" spans="3:5" ht="12.5">
      <c r="C402" s="8"/>
      <c r="D402" s="84"/>
      <c r="E402" s="8"/>
    </row>
    <row r="403" spans="3:5" ht="12.5">
      <c r="C403" s="8"/>
      <c r="D403" s="84"/>
      <c r="E403" s="8"/>
    </row>
    <row r="404" spans="3:5" ht="12.5">
      <c r="C404" s="8"/>
      <c r="D404" s="84"/>
      <c r="E404" s="8"/>
    </row>
    <row r="405" spans="3:5" ht="12.5">
      <c r="C405" s="8"/>
      <c r="D405" s="84"/>
      <c r="E405" s="8"/>
    </row>
    <row r="406" spans="3:5" ht="12.5">
      <c r="C406" s="8"/>
      <c r="D406" s="84"/>
      <c r="E406" s="8"/>
    </row>
    <row r="407" spans="3:5" ht="12.5">
      <c r="C407" s="8"/>
      <c r="D407" s="84"/>
      <c r="E407" s="8"/>
    </row>
    <row r="408" spans="3:5" ht="12.5">
      <c r="C408" s="8"/>
      <c r="D408" s="84"/>
      <c r="E408" s="8"/>
    </row>
    <row r="409" spans="3:5" ht="12.5">
      <c r="C409" s="8"/>
      <c r="D409" s="84"/>
      <c r="E409" s="8"/>
    </row>
    <row r="410" spans="3:5" ht="12.5">
      <c r="C410" s="8"/>
      <c r="D410" s="84"/>
      <c r="E410" s="8"/>
    </row>
    <row r="411" spans="3:5" ht="12.5">
      <c r="C411" s="8"/>
      <c r="D411" s="84"/>
      <c r="E411" s="8"/>
    </row>
    <row r="412" spans="3:5" ht="12.5">
      <c r="C412" s="8"/>
      <c r="D412" s="84"/>
      <c r="E412" s="8"/>
    </row>
    <row r="413" spans="3:5" ht="12.5">
      <c r="C413" s="8"/>
      <c r="D413" s="84"/>
      <c r="E413" s="8"/>
    </row>
    <row r="414" spans="3:5" ht="12.5">
      <c r="C414" s="8"/>
      <c r="D414" s="84"/>
      <c r="E414" s="8"/>
    </row>
    <row r="415" spans="3:5" ht="12.5">
      <c r="C415" s="8"/>
      <c r="D415" s="84"/>
      <c r="E415" s="8"/>
    </row>
    <row r="416" spans="3:5" ht="12.5">
      <c r="C416" s="8"/>
      <c r="D416" s="84"/>
      <c r="E416" s="8"/>
    </row>
    <row r="417" spans="3:5" ht="12.5">
      <c r="C417" s="8"/>
      <c r="D417" s="84"/>
      <c r="E417" s="8"/>
    </row>
    <row r="418" spans="3:5" ht="12.5">
      <c r="C418" s="8"/>
      <c r="D418" s="84"/>
      <c r="E418" s="8"/>
    </row>
    <row r="419" spans="3:5" ht="12.5">
      <c r="C419" s="8"/>
      <c r="D419" s="84"/>
      <c r="E419" s="8"/>
    </row>
    <row r="420" spans="3:5" ht="12.5">
      <c r="C420" s="8"/>
      <c r="D420" s="84"/>
      <c r="E420" s="8"/>
    </row>
    <row r="421" spans="3:5" ht="12.5">
      <c r="C421" s="8"/>
      <c r="D421" s="84"/>
      <c r="E421" s="8"/>
    </row>
    <row r="422" spans="3:5" ht="12.5">
      <c r="C422" s="8"/>
      <c r="D422" s="84"/>
      <c r="E422" s="8"/>
    </row>
    <row r="423" spans="3:5" ht="12.5">
      <c r="C423" s="8"/>
      <c r="D423" s="84"/>
      <c r="E423" s="8"/>
    </row>
    <row r="424" spans="3:5" ht="12.5">
      <c r="C424" s="8"/>
      <c r="D424" s="84"/>
      <c r="E424" s="8"/>
    </row>
    <row r="425" spans="3:5" ht="12.5">
      <c r="C425" s="8"/>
      <c r="D425" s="84"/>
      <c r="E425" s="8"/>
    </row>
    <row r="426" spans="3:5" ht="12.5">
      <c r="C426" s="8"/>
      <c r="D426" s="84"/>
      <c r="E426" s="8"/>
    </row>
    <row r="427" spans="3:5" ht="12.5">
      <c r="C427" s="8"/>
      <c r="D427" s="84"/>
      <c r="E427" s="8"/>
    </row>
    <row r="428" spans="3:5" ht="12.5">
      <c r="C428" s="8"/>
      <c r="D428" s="84"/>
      <c r="E428" s="8"/>
    </row>
    <row r="429" spans="3:5" ht="12.5">
      <c r="C429" s="8"/>
      <c r="D429" s="84"/>
      <c r="E429" s="8"/>
    </row>
    <row r="430" spans="3:5" ht="12.5">
      <c r="C430" s="8"/>
      <c r="D430" s="84"/>
      <c r="E430" s="8"/>
    </row>
    <row r="431" spans="3:5" ht="12.5">
      <c r="C431" s="8"/>
      <c r="D431" s="84"/>
      <c r="E431" s="8"/>
    </row>
    <row r="432" spans="3:5" ht="12.5">
      <c r="C432" s="8"/>
      <c r="D432" s="84"/>
      <c r="E432" s="8"/>
    </row>
    <row r="433" spans="3:5" ht="12.5">
      <c r="C433" s="8"/>
      <c r="D433" s="84"/>
      <c r="E433" s="8"/>
    </row>
    <row r="434" spans="3:5" ht="12.5">
      <c r="C434" s="8"/>
      <c r="D434" s="84"/>
      <c r="E434" s="8"/>
    </row>
    <row r="435" spans="3:5" ht="12.5">
      <c r="C435" s="8"/>
      <c r="D435" s="84"/>
      <c r="E435" s="8"/>
    </row>
    <row r="436" spans="3:5" ht="12.5">
      <c r="C436" s="8"/>
      <c r="D436" s="84"/>
      <c r="E436" s="8"/>
    </row>
    <row r="437" spans="3:5" ht="12.5">
      <c r="C437" s="8"/>
      <c r="D437" s="84"/>
      <c r="E437" s="8"/>
    </row>
    <row r="438" spans="3:5" ht="12.5">
      <c r="C438" s="8"/>
      <c r="D438" s="84"/>
      <c r="E438" s="8"/>
    </row>
    <row r="439" spans="3:5" ht="12.5">
      <c r="C439" s="8"/>
      <c r="D439" s="84"/>
      <c r="E439" s="8"/>
    </row>
    <row r="440" spans="3:5" ht="12.5">
      <c r="C440" s="8"/>
      <c r="D440" s="84"/>
      <c r="E440" s="8"/>
    </row>
    <row r="441" spans="3:5" ht="12.5">
      <c r="C441" s="8"/>
      <c r="D441" s="84"/>
      <c r="E441" s="8"/>
    </row>
    <row r="442" spans="3:5" ht="12.5">
      <c r="C442" s="8"/>
      <c r="D442" s="84"/>
      <c r="E442" s="8"/>
    </row>
    <row r="443" spans="3:5" ht="12.5">
      <c r="C443" s="8"/>
      <c r="D443" s="84"/>
      <c r="E443" s="8"/>
    </row>
    <row r="444" spans="3:5" ht="12.5">
      <c r="C444" s="8"/>
      <c r="D444" s="84"/>
      <c r="E444" s="8"/>
    </row>
    <row r="445" spans="3:5" ht="12.5">
      <c r="C445" s="8"/>
      <c r="D445" s="84"/>
      <c r="E445" s="8"/>
    </row>
    <row r="446" spans="3:5" ht="12.5">
      <c r="C446" s="8"/>
      <c r="D446" s="84"/>
      <c r="E446" s="8"/>
    </row>
    <row r="447" spans="3:5" ht="12.5">
      <c r="C447" s="8"/>
      <c r="D447" s="84"/>
      <c r="E447" s="8"/>
    </row>
    <row r="448" spans="3:5" ht="12.5">
      <c r="C448" s="8"/>
      <c r="D448" s="84"/>
      <c r="E448" s="8"/>
    </row>
    <row r="449" spans="3:5" ht="12.5">
      <c r="C449" s="8"/>
      <c r="D449" s="84"/>
      <c r="E449" s="8"/>
    </row>
    <row r="450" spans="3:5" ht="12.5">
      <c r="C450" s="8"/>
      <c r="D450" s="84"/>
      <c r="E450" s="8"/>
    </row>
    <row r="451" spans="3:5" ht="12.5">
      <c r="C451" s="8"/>
      <c r="D451" s="84"/>
      <c r="E451" s="8"/>
    </row>
    <row r="452" spans="3:5" ht="12.5">
      <c r="C452" s="8"/>
      <c r="D452" s="84"/>
      <c r="E452" s="8"/>
    </row>
    <row r="453" spans="3:5" ht="12.5">
      <c r="C453" s="8"/>
      <c r="D453" s="84"/>
      <c r="E453" s="8"/>
    </row>
    <row r="454" spans="3:5" ht="12.5">
      <c r="C454" s="8"/>
      <c r="D454" s="84"/>
      <c r="E454" s="8"/>
    </row>
    <row r="455" spans="3:5" ht="12.5">
      <c r="C455" s="8"/>
      <c r="D455" s="84"/>
      <c r="E455" s="8"/>
    </row>
    <row r="456" spans="3:5" ht="12.5">
      <c r="C456" s="8"/>
      <c r="D456" s="84"/>
      <c r="E456" s="8"/>
    </row>
    <row r="457" spans="3:5" ht="12.5">
      <c r="C457" s="8"/>
      <c r="D457" s="84"/>
      <c r="E457" s="8"/>
    </row>
    <row r="458" spans="3:5" ht="12.5">
      <c r="C458" s="8"/>
      <c r="D458" s="84"/>
      <c r="E458" s="8"/>
    </row>
    <row r="459" spans="3:5" ht="12.5">
      <c r="C459" s="8"/>
      <c r="D459" s="84"/>
      <c r="E459" s="8"/>
    </row>
    <row r="460" spans="3:5" ht="12.5">
      <c r="C460" s="8"/>
      <c r="D460" s="84"/>
      <c r="E460" s="8"/>
    </row>
    <row r="461" spans="3:5" ht="12.5">
      <c r="C461" s="8"/>
      <c r="D461" s="84"/>
      <c r="E461" s="8"/>
    </row>
    <row r="462" spans="3:5" ht="12.5">
      <c r="C462" s="8"/>
      <c r="D462" s="84"/>
      <c r="E462" s="8"/>
    </row>
    <row r="463" spans="3:5" ht="12.5">
      <c r="C463" s="8"/>
      <c r="D463" s="84"/>
      <c r="E463" s="8"/>
    </row>
    <row r="464" spans="3:5" ht="12.5">
      <c r="C464" s="8"/>
      <c r="D464" s="84"/>
      <c r="E464" s="8"/>
    </row>
    <row r="465" spans="3:5" ht="12.5">
      <c r="C465" s="8"/>
      <c r="D465" s="84"/>
      <c r="E465" s="8"/>
    </row>
    <row r="466" spans="3:5" ht="12.5">
      <c r="C466" s="8"/>
      <c r="D466" s="84"/>
      <c r="E466" s="8"/>
    </row>
    <row r="467" spans="3:5" ht="12.5">
      <c r="C467" s="8"/>
      <c r="D467" s="84"/>
      <c r="E467" s="8"/>
    </row>
    <row r="468" spans="3:5" ht="12.5">
      <c r="C468" s="8"/>
      <c r="D468" s="84"/>
      <c r="E468" s="8"/>
    </row>
    <row r="469" spans="3:5" ht="12.5">
      <c r="C469" s="8"/>
      <c r="D469" s="84"/>
      <c r="E469" s="8"/>
    </row>
    <row r="470" spans="3:5" ht="12.5">
      <c r="C470" s="8"/>
      <c r="D470" s="84"/>
      <c r="E470" s="8"/>
    </row>
    <row r="471" spans="3:5" ht="12.5">
      <c r="C471" s="8"/>
      <c r="D471" s="84"/>
      <c r="E471" s="8"/>
    </row>
    <row r="472" spans="3:5" ht="12.5">
      <c r="C472" s="8"/>
      <c r="D472" s="84"/>
      <c r="E472" s="8"/>
    </row>
    <row r="473" spans="3:5" ht="12.5">
      <c r="C473" s="8"/>
      <c r="D473" s="84"/>
      <c r="E473" s="8"/>
    </row>
    <row r="474" spans="3:5" ht="12.5">
      <c r="C474" s="8"/>
      <c r="D474" s="84"/>
      <c r="E474" s="8"/>
    </row>
    <row r="475" spans="3:5" ht="12.5">
      <c r="C475" s="8"/>
      <c r="D475" s="84"/>
      <c r="E475" s="8"/>
    </row>
    <row r="476" spans="3:5" ht="12.5">
      <c r="C476" s="8"/>
      <c r="D476" s="84"/>
      <c r="E476" s="8"/>
    </row>
    <row r="477" spans="3:5" ht="12.5">
      <c r="C477" s="8"/>
      <c r="D477" s="84"/>
      <c r="E477" s="8"/>
    </row>
    <row r="478" spans="3:5" ht="12.5">
      <c r="C478" s="8"/>
      <c r="D478" s="84"/>
      <c r="E478" s="8"/>
    </row>
    <row r="479" spans="3:5" ht="12.5">
      <c r="C479" s="8"/>
      <c r="D479" s="84"/>
      <c r="E479" s="8"/>
    </row>
    <row r="480" spans="3:5" ht="12.5">
      <c r="C480" s="8"/>
      <c r="D480" s="84"/>
      <c r="E480" s="8"/>
    </row>
    <row r="481" spans="3:5" ht="12.5">
      <c r="C481" s="8"/>
      <c r="D481" s="84"/>
      <c r="E481" s="8"/>
    </row>
    <row r="482" spans="3:5" ht="12.5">
      <c r="C482" s="8"/>
      <c r="D482" s="84"/>
      <c r="E482" s="8"/>
    </row>
    <row r="483" spans="3:5" ht="12.5">
      <c r="C483" s="8"/>
      <c r="D483" s="84"/>
      <c r="E483" s="8"/>
    </row>
    <row r="484" spans="3:5" ht="12.5">
      <c r="C484" s="8"/>
      <c r="D484" s="84"/>
      <c r="E484" s="8"/>
    </row>
    <row r="485" spans="3:5" ht="12.5">
      <c r="C485" s="8"/>
      <c r="D485" s="84"/>
      <c r="E485" s="8"/>
    </row>
    <row r="486" spans="3:5" ht="12.5">
      <c r="C486" s="8"/>
      <c r="D486" s="84"/>
      <c r="E486" s="8"/>
    </row>
    <row r="487" spans="3:5" ht="12.5">
      <c r="C487" s="8"/>
      <c r="D487" s="84"/>
      <c r="E487" s="8"/>
    </row>
    <row r="488" spans="3:5" ht="12.5">
      <c r="C488" s="8"/>
      <c r="D488" s="84"/>
      <c r="E488" s="8"/>
    </row>
    <row r="489" spans="3:5" ht="12.5">
      <c r="C489" s="8"/>
      <c r="D489" s="84"/>
      <c r="E489" s="8"/>
    </row>
    <row r="490" spans="3:5" ht="12.5">
      <c r="C490" s="8"/>
      <c r="D490" s="84"/>
      <c r="E490" s="8"/>
    </row>
    <row r="491" spans="3:5" ht="12.5">
      <c r="C491" s="8"/>
      <c r="D491" s="84"/>
      <c r="E491" s="8"/>
    </row>
    <row r="492" spans="3:5" ht="12.5">
      <c r="C492" s="8"/>
      <c r="D492" s="84"/>
      <c r="E492" s="8"/>
    </row>
    <row r="493" spans="3:5" ht="12.5">
      <c r="C493" s="8"/>
      <c r="D493" s="84"/>
      <c r="E493" s="8"/>
    </row>
    <row r="494" spans="3:5" ht="12.5">
      <c r="C494" s="8"/>
      <c r="D494" s="84"/>
      <c r="E494" s="8"/>
    </row>
    <row r="495" spans="3:5" ht="12.5">
      <c r="C495" s="8"/>
      <c r="D495" s="84"/>
      <c r="E495" s="8"/>
    </row>
    <row r="496" spans="3:5" ht="12.5">
      <c r="C496" s="8"/>
      <c r="D496" s="84"/>
      <c r="E496" s="8"/>
    </row>
    <row r="497" spans="3:5" ht="12.5">
      <c r="C497" s="8"/>
      <c r="D497" s="84"/>
      <c r="E497" s="8"/>
    </row>
    <row r="498" spans="3:5" ht="12.5">
      <c r="C498" s="8"/>
      <c r="D498" s="84"/>
      <c r="E498" s="8"/>
    </row>
    <row r="499" spans="3:5" ht="12.5">
      <c r="C499" s="8"/>
      <c r="D499" s="84"/>
      <c r="E499" s="8"/>
    </row>
    <row r="500" spans="3:5" ht="12.5">
      <c r="C500" s="8"/>
      <c r="D500" s="84"/>
      <c r="E500" s="8"/>
    </row>
    <row r="501" spans="3:5" ht="12.5">
      <c r="C501" s="8"/>
      <c r="D501" s="84"/>
      <c r="E501" s="8"/>
    </row>
    <row r="502" spans="3:5" ht="12.5">
      <c r="C502" s="8"/>
      <c r="D502" s="84"/>
      <c r="E502" s="8"/>
    </row>
    <row r="503" spans="3:5" ht="12.5">
      <c r="C503" s="8"/>
      <c r="D503" s="84"/>
      <c r="E503" s="8"/>
    </row>
    <row r="504" spans="3:5" ht="12.5">
      <c r="C504" s="8"/>
      <c r="D504" s="84"/>
      <c r="E504" s="8"/>
    </row>
    <row r="505" spans="3:5" ht="12.5">
      <c r="C505" s="8"/>
      <c r="D505" s="84"/>
      <c r="E505" s="8"/>
    </row>
    <row r="506" spans="3:5" ht="12.5">
      <c r="C506" s="8"/>
      <c r="D506" s="84"/>
      <c r="E506" s="8"/>
    </row>
    <row r="507" spans="3:5" ht="12.5">
      <c r="C507" s="8"/>
      <c r="D507" s="84"/>
      <c r="E507" s="8"/>
    </row>
    <row r="508" spans="3:5" ht="12.5">
      <c r="C508" s="8"/>
      <c r="D508" s="84"/>
      <c r="E508" s="8"/>
    </row>
    <row r="509" spans="3:5" ht="12.5">
      <c r="C509" s="8"/>
      <c r="D509" s="84"/>
      <c r="E509" s="8"/>
    </row>
    <row r="510" spans="3:5" ht="12.5">
      <c r="C510" s="8"/>
      <c r="D510" s="84"/>
      <c r="E510" s="8"/>
    </row>
    <row r="511" spans="3:5" ht="12.5">
      <c r="C511" s="8"/>
      <c r="D511" s="84"/>
      <c r="E511" s="8"/>
    </row>
    <row r="512" spans="3:5" ht="12.5">
      <c r="C512" s="8"/>
      <c r="D512" s="84"/>
      <c r="E512" s="8"/>
    </row>
    <row r="513" spans="3:5" ht="12.5">
      <c r="C513" s="8"/>
      <c r="D513" s="84"/>
      <c r="E513" s="8"/>
    </row>
    <row r="514" spans="3:5" ht="12.5">
      <c r="C514" s="8"/>
      <c r="D514" s="84"/>
      <c r="E514" s="8"/>
    </row>
    <row r="515" spans="3:5" ht="12.5">
      <c r="C515" s="8"/>
      <c r="D515" s="84"/>
      <c r="E515" s="8"/>
    </row>
    <row r="516" spans="3:5" ht="12.5">
      <c r="C516" s="8"/>
      <c r="D516" s="84"/>
      <c r="E516" s="8"/>
    </row>
    <row r="517" spans="3:5" ht="12.5">
      <c r="C517" s="8"/>
      <c r="D517" s="84"/>
      <c r="E517" s="8"/>
    </row>
    <row r="518" spans="3:5" ht="12.5">
      <c r="C518" s="8"/>
      <c r="D518" s="84"/>
      <c r="E518" s="8"/>
    </row>
    <row r="519" spans="3:5" ht="12.5">
      <c r="C519" s="8"/>
      <c r="D519" s="84"/>
      <c r="E519" s="8"/>
    </row>
    <row r="520" spans="3:5" ht="12.5">
      <c r="C520" s="8"/>
      <c r="D520" s="84"/>
      <c r="E520" s="8"/>
    </row>
    <row r="521" spans="3:5" ht="12.5">
      <c r="C521" s="8"/>
      <c r="D521" s="84"/>
      <c r="E521" s="8"/>
    </row>
    <row r="522" spans="3:5" ht="12.5">
      <c r="C522" s="8"/>
      <c r="D522" s="84"/>
      <c r="E522" s="8"/>
    </row>
    <row r="523" spans="3:5" ht="12.5">
      <c r="C523" s="8"/>
      <c r="D523" s="84"/>
      <c r="E523" s="8"/>
    </row>
    <row r="524" spans="3:5" ht="12.5">
      <c r="C524" s="8"/>
      <c r="D524" s="84"/>
      <c r="E524" s="8"/>
    </row>
    <row r="525" spans="3:5" ht="12.5">
      <c r="C525" s="8"/>
      <c r="D525" s="84"/>
      <c r="E525" s="8"/>
    </row>
    <row r="526" spans="3:5" ht="12.5">
      <c r="C526" s="8"/>
      <c r="D526" s="84"/>
      <c r="E526" s="8"/>
    </row>
    <row r="527" spans="3:5" ht="12.5">
      <c r="C527" s="8"/>
      <c r="D527" s="84"/>
      <c r="E527" s="8"/>
    </row>
    <row r="528" spans="3:5" ht="12.5">
      <c r="C528" s="8"/>
      <c r="D528" s="84"/>
      <c r="E528" s="8"/>
    </row>
    <row r="529" spans="3:5" ht="12.5">
      <c r="C529" s="8"/>
      <c r="D529" s="84"/>
      <c r="E529" s="8"/>
    </row>
    <row r="530" spans="3:5" ht="12.5">
      <c r="C530" s="8"/>
      <c r="D530" s="84"/>
      <c r="E530" s="8"/>
    </row>
    <row r="531" spans="3:5" ht="12.5">
      <c r="C531" s="8"/>
      <c r="D531" s="84"/>
      <c r="E531" s="8"/>
    </row>
    <row r="532" spans="3:5" ht="12.5">
      <c r="C532" s="8"/>
      <c r="D532" s="84"/>
      <c r="E532" s="8"/>
    </row>
    <row r="533" spans="3:5" ht="12.5">
      <c r="C533" s="8"/>
      <c r="D533" s="84"/>
      <c r="E533" s="8"/>
    </row>
    <row r="534" spans="3:5" ht="12.5">
      <c r="C534" s="8"/>
      <c r="D534" s="84"/>
      <c r="E534" s="8"/>
    </row>
    <row r="535" spans="3:5" ht="12.5">
      <c r="C535" s="8"/>
      <c r="D535" s="84"/>
      <c r="E535" s="8"/>
    </row>
    <row r="536" spans="3:5" ht="12.5">
      <c r="C536" s="8"/>
      <c r="D536" s="84"/>
      <c r="E536" s="8"/>
    </row>
    <row r="537" spans="3:5" ht="12.5">
      <c r="C537" s="8"/>
      <c r="D537" s="84"/>
      <c r="E537" s="8"/>
    </row>
    <row r="538" spans="3:5" ht="12.5">
      <c r="C538" s="8"/>
      <c r="D538" s="84"/>
      <c r="E538" s="8"/>
    </row>
    <row r="539" spans="3:5" ht="12.5">
      <c r="C539" s="8"/>
      <c r="D539" s="84"/>
      <c r="E539" s="8"/>
    </row>
    <row r="540" spans="3:5" ht="12.5">
      <c r="C540" s="8"/>
      <c r="D540" s="84"/>
      <c r="E540" s="8"/>
    </row>
    <row r="541" spans="3:5" ht="12.5">
      <c r="C541" s="8"/>
      <c r="D541" s="84"/>
      <c r="E541" s="8"/>
    </row>
    <row r="542" spans="3:5" ht="12.5">
      <c r="C542" s="8"/>
      <c r="D542" s="84"/>
      <c r="E542" s="8"/>
    </row>
    <row r="543" spans="3:5" ht="12.5">
      <c r="C543" s="8"/>
      <c r="D543" s="84"/>
      <c r="E543" s="8"/>
    </row>
    <row r="544" spans="3:5" ht="12.5">
      <c r="C544" s="8"/>
      <c r="D544" s="84"/>
      <c r="E544" s="8"/>
    </row>
    <row r="545" spans="3:5" ht="12.5">
      <c r="C545" s="8"/>
      <c r="D545" s="84"/>
      <c r="E545" s="8"/>
    </row>
    <row r="546" spans="3:5" ht="12.5">
      <c r="C546" s="8"/>
      <c r="D546" s="84"/>
      <c r="E546" s="8"/>
    </row>
    <row r="547" spans="3:5" ht="12.5">
      <c r="C547" s="8"/>
      <c r="D547" s="84"/>
      <c r="E547" s="8"/>
    </row>
    <row r="548" spans="3:5" ht="12.5">
      <c r="C548" s="8"/>
      <c r="D548" s="84"/>
      <c r="E548" s="8"/>
    </row>
    <row r="549" spans="3:5" ht="12.5">
      <c r="C549" s="8"/>
      <c r="D549" s="84"/>
      <c r="E549" s="8"/>
    </row>
    <row r="550" spans="3:5" ht="12.5">
      <c r="C550" s="8"/>
      <c r="D550" s="84"/>
      <c r="E550" s="8"/>
    </row>
    <row r="551" spans="3:5" ht="12.5">
      <c r="C551" s="8"/>
      <c r="D551" s="84"/>
      <c r="E551" s="8"/>
    </row>
    <row r="552" spans="3:5" ht="12.5">
      <c r="C552" s="8"/>
      <c r="D552" s="84"/>
      <c r="E552" s="8"/>
    </row>
    <row r="553" spans="3:5" ht="12.5">
      <c r="C553" s="8"/>
      <c r="D553" s="84"/>
      <c r="E553" s="8"/>
    </row>
    <row r="554" spans="3:5" ht="12.5">
      <c r="C554" s="8"/>
      <c r="D554" s="84"/>
      <c r="E554" s="8"/>
    </row>
    <row r="555" spans="3:5" ht="12.5">
      <c r="C555" s="8"/>
      <c r="D555" s="84"/>
      <c r="E555" s="8"/>
    </row>
    <row r="556" spans="3:5" ht="12.5">
      <c r="C556" s="8"/>
      <c r="D556" s="84"/>
      <c r="E556" s="8"/>
    </row>
    <row r="557" spans="3:5" ht="12.5">
      <c r="C557" s="8"/>
      <c r="D557" s="84"/>
      <c r="E557" s="8"/>
    </row>
    <row r="558" spans="3:5" ht="12.5">
      <c r="C558" s="8"/>
      <c r="D558" s="84"/>
      <c r="E558" s="8"/>
    </row>
    <row r="559" spans="3:5" ht="12.5">
      <c r="C559" s="8"/>
      <c r="D559" s="84"/>
      <c r="E559" s="8"/>
    </row>
    <row r="560" spans="3:5" ht="12.5">
      <c r="C560" s="8"/>
      <c r="D560" s="84"/>
      <c r="E560" s="8"/>
    </row>
    <row r="561" spans="3:5" ht="12.5">
      <c r="C561" s="8"/>
      <c r="D561" s="84"/>
      <c r="E561" s="8"/>
    </row>
    <row r="562" spans="3:5" ht="12.5">
      <c r="C562" s="8"/>
      <c r="D562" s="84"/>
      <c r="E562" s="8"/>
    </row>
    <row r="563" spans="3:5" ht="12.5">
      <c r="C563" s="8"/>
      <c r="D563" s="84"/>
      <c r="E563" s="8"/>
    </row>
    <row r="564" spans="3:5" ht="12.5">
      <c r="C564" s="8"/>
      <c r="D564" s="84"/>
      <c r="E564" s="8"/>
    </row>
    <row r="565" spans="3:5" ht="12.5">
      <c r="C565" s="8"/>
      <c r="D565" s="84"/>
      <c r="E565" s="8"/>
    </row>
    <row r="566" spans="3:5" ht="12.5">
      <c r="C566" s="8"/>
      <c r="D566" s="84"/>
      <c r="E566" s="8"/>
    </row>
    <row r="567" spans="3:5" ht="12.5">
      <c r="C567" s="8"/>
      <c r="D567" s="84"/>
      <c r="E567" s="8"/>
    </row>
    <row r="568" spans="3:5" ht="12.5">
      <c r="C568" s="8"/>
      <c r="D568" s="84"/>
      <c r="E568" s="8"/>
    </row>
    <row r="569" spans="3:5" ht="12.5">
      <c r="C569" s="8"/>
      <c r="D569" s="84"/>
      <c r="E569" s="8"/>
    </row>
    <row r="570" spans="3:5" ht="12.5">
      <c r="C570" s="8"/>
      <c r="D570" s="84"/>
      <c r="E570" s="8"/>
    </row>
    <row r="571" spans="3:5" ht="12.5">
      <c r="C571" s="8"/>
      <c r="D571" s="84"/>
      <c r="E571" s="8"/>
    </row>
    <row r="572" spans="3:5" ht="12.5">
      <c r="C572" s="8"/>
      <c r="D572" s="84"/>
      <c r="E572" s="8"/>
    </row>
    <row r="573" spans="3:5" ht="12.5">
      <c r="C573" s="8"/>
      <c r="D573" s="84"/>
      <c r="E573" s="8"/>
    </row>
    <row r="574" spans="3:5" ht="12.5">
      <c r="C574" s="8"/>
      <c r="D574" s="84"/>
      <c r="E574" s="8"/>
    </row>
    <row r="575" spans="3:5" ht="12.5">
      <c r="C575" s="8"/>
      <c r="D575" s="84"/>
      <c r="E575" s="8"/>
    </row>
    <row r="576" spans="3:5" ht="12.5">
      <c r="C576" s="8"/>
      <c r="D576" s="84"/>
      <c r="E576" s="8"/>
    </row>
    <row r="577" spans="3:5" ht="12.5">
      <c r="C577" s="8"/>
      <c r="D577" s="84"/>
      <c r="E577" s="8"/>
    </row>
    <row r="578" spans="3:5" ht="12.5">
      <c r="C578" s="8"/>
      <c r="D578" s="84"/>
      <c r="E578" s="8"/>
    </row>
    <row r="579" spans="3:5" ht="12.5">
      <c r="C579" s="8"/>
      <c r="D579" s="84"/>
      <c r="E579" s="8"/>
    </row>
    <row r="580" spans="3:5" ht="12.5">
      <c r="C580" s="8"/>
      <c r="D580" s="84"/>
      <c r="E580" s="8"/>
    </row>
    <row r="581" spans="3:5" ht="12.5">
      <c r="C581" s="8"/>
      <c r="D581" s="84"/>
      <c r="E581" s="8"/>
    </row>
    <row r="582" spans="3:5" ht="12.5">
      <c r="C582" s="8"/>
      <c r="D582" s="84"/>
      <c r="E582" s="8"/>
    </row>
    <row r="583" spans="3:5" ht="12.5">
      <c r="C583" s="8"/>
      <c r="D583" s="84"/>
      <c r="E583" s="8"/>
    </row>
    <row r="584" spans="3:5" ht="12.5">
      <c r="C584" s="8"/>
      <c r="D584" s="84"/>
      <c r="E584" s="8"/>
    </row>
    <row r="585" spans="3:5" ht="12.5">
      <c r="C585" s="8"/>
      <c r="D585" s="84"/>
      <c r="E585" s="8"/>
    </row>
    <row r="586" spans="3:5" ht="12.5">
      <c r="C586" s="8"/>
      <c r="D586" s="84"/>
      <c r="E586" s="8"/>
    </row>
    <row r="587" spans="3:5" ht="12.5">
      <c r="C587" s="8"/>
      <c r="D587" s="84"/>
      <c r="E587" s="8"/>
    </row>
    <row r="588" spans="3:5" ht="12.5">
      <c r="C588" s="8"/>
      <c r="D588" s="84"/>
      <c r="E588" s="8"/>
    </row>
    <row r="589" spans="3:5" ht="12.5">
      <c r="C589" s="8"/>
      <c r="D589" s="84"/>
      <c r="E589" s="8"/>
    </row>
    <row r="590" spans="3:5" ht="12.5">
      <c r="C590" s="8"/>
      <c r="D590" s="84"/>
      <c r="E590" s="8"/>
    </row>
    <row r="591" spans="3:5" ht="12.5">
      <c r="C591" s="8"/>
      <c r="D591" s="84"/>
      <c r="E591" s="8"/>
    </row>
    <row r="592" spans="3:5" ht="12.5">
      <c r="C592" s="8"/>
      <c r="D592" s="84"/>
      <c r="E592" s="8"/>
    </row>
    <row r="593" spans="3:5" ht="12.5">
      <c r="C593" s="8"/>
      <c r="D593" s="84"/>
      <c r="E593" s="8"/>
    </row>
    <row r="594" spans="3:5" ht="12.5">
      <c r="C594" s="8"/>
      <c r="D594" s="84"/>
      <c r="E594" s="8"/>
    </row>
    <row r="595" spans="3:5" ht="12.5">
      <c r="C595" s="8"/>
      <c r="D595" s="84"/>
      <c r="E595" s="8"/>
    </row>
    <row r="596" spans="3:5" ht="12.5">
      <c r="C596" s="8"/>
      <c r="D596" s="84"/>
      <c r="E596" s="8"/>
    </row>
    <row r="597" spans="3:5" ht="12.5">
      <c r="C597" s="8"/>
      <c r="D597" s="84"/>
      <c r="E597" s="8"/>
    </row>
    <row r="598" spans="3:5" ht="12.5">
      <c r="C598" s="8"/>
      <c r="D598" s="84"/>
      <c r="E598" s="8"/>
    </row>
    <row r="599" spans="3:5" ht="12.5">
      <c r="C599" s="8"/>
      <c r="D599" s="84"/>
      <c r="E599" s="8"/>
    </row>
    <row r="600" spans="3:5" ht="12.5">
      <c r="C600" s="8"/>
      <c r="D600" s="84"/>
      <c r="E600" s="8"/>
    </row>
    <row r="601" spans="3:5" ht="12.5">
      <c r="C601" s="8"/>
      <c r="D601" s="84"/>
      <c r="E601" s="8"/>
    </row>
    <row r="602" spans="3:5" ht="12.5">
      <c r="C602" s="8"/>
      <c r="D602" s="84"/>
      <c r="E602" s="8"/>
    </row>
    <row r="603" spans="3:5" ht="12.5">
      <c r="C603" s="8"/>
      <c r="D603" s="84"/>
      <c r="E603" s="8"/>
    </row>
    <row r="604" spans="3:5" ht="12.5">
      <c r="C604" s="8"/>
      <c r="D604" s="84"/>
      <c r="E604" s="8"/>
    </row>
    <row r="605" spans="3:5" ht="12.5">
      <c r="C605" s="8"/>
      <c r="D605" s="84"/>
      <c r="E605" s="8"/>
    </row>
    <row r="606" spans="3:5" ht="12.5">
      <c r="C606" s="8"/>
      <c r="D606" s="84"/>
      <c r="E606" s="8"/>
    </row>
    <row r="607" spans="3:5" ht="12.5">
      <c r="C607" s="8"/>
      <c r="D607" s="84"/>
      <c r="E607" s="8"/>
    </row>
    <row r="608" spans="3:5" ht="12.5">
      <c r="C608" s="8"/>
      <c r="D608" s="84"/>
      <c r="E608" s="8"/>
    </row>
    <row r="609" spans="3:5" ht="12.5">
      <c r="C609" s="8"/>
      <c r="D609" s="84"/>
      <c r="E609" s="8"/>
    </row>
    <row r="610" spans="3:5" ht="12.5">
      <c r="C610" s="8"/>
      <c r="D610" s="84"/>
      <c r="E610" s="8"/>
    </row>
    <row r="611" spans="3:5" ht="12.5">
      <c r="C611" s="8"/>
      <c r="D611" s="84"/>
      <c r="E611" s="8"/>
    </row>
    <row r="612" spans="3:5" ht="12.5">
      <c r="C612" s="8"/>
      <c r="D612" s="84"/>
      <c r="E612" s="8"/>
    </row>
    <row r="613" spans="3:5" ht="12.5">
      <c r="C613" s="8"/>
      <c r="D613" s="84"/>
      <c r="E613" s="8"/>
    </row>
    <row r="614" spans="3:5" ht="12.5">
      <c r="C614" s="8"/>
      <c r="D614" s="84"/>
      <c r="E614" s="8"/>
    </row>
    <row r="615" spans="3:5" ht="12.5">
      <c r="C615" s="8"/>
      <c r="D615" s="84"/>
      <c r="E615" s="8"/>
    </row>
    <row r="616" spans="3:5" ht="12.5">
      <c r="C616" s="8"/>
      <c r="D616" s="84"/>
      <c r="E616" s="8"/>
    </row>
    <row r="617" spans="3:5" ht="12.5">
      <c r="C617" s="8"/>
      <c r="D617" s="84"/>
      <c r="E617" s="8"/>
    </row>
    <row r="618" spans="3:5" ht="12.5">
      <c r="C618" s="8"/>
      <c r="D618" s="84"/>
      <c r="E618" s="8"/>
    </row>
    <row r="619" spans="3:5" ht="12.5">
      <c r="C619" s="8"/>
      <c r="D619" s="84"/>
      <c r="E619" s="8"/>
    </row>
    <row r="620" spans="3:5" ht="12.5">
      <c r="C620" s="8"/>
      <c r="D620" s="84"/>
      <c r="E620" s="8"/>
    </row>
    <row r="621" spans="3:5" ht="12.5">
      <c r="C621" s="8"/>
      <c r="D621" s="84"/>
      <c r="E621" s="8"/>
    </row>
    <row r="622" spans="3:5" ht="12.5">
      <c r="C622" s="8"/>
      <c r="D622" s="84"/>
      <c r="E622" s="8"/>
    </row>
    <row r="623" spans="3:5" ht="12.5">
      <c r="C623" s="8"/>
      <c r="D623" s="84"/>
      <c r="E623" s="8"/>
    </row>
    <row r="624" spans="3:5" ht="12.5">
      <c r="C624" s="8"/>
      <c r="D624" s="84"/>
      <c r="E624" s="8"/>
    </row>
    <row r="625" spans="3:5" ht="12.5">
      <c r="C625" s="8"/>
      <c r="D625" s="84"/>
      <c r="E625" s="8"/>
    </row>
    <row r="626" spans="3:5" ht="12.5">
      <c r="C626" s="8"/>
      <c r="D626" s="84"/>
      <c r="E626" s="8"/>
    </row>
    <row r="627" spans="3:5" ht="12.5">
      <c r="C627" s="8"/>
      <c r="D627" s="84"/>
      <c r="E627" s="8"/>
    </row>
    <row r="628" spans="3:5" ht="12.5">
      <c r="C628" s="8"/>
      <c r="D628" s="84"/>
      <c r="E628" s="8"/>
    </row>
    <row r="629" spans="3:5" ht="12.5">
      <c r="C629" s="8"/>
      <c r="D629" s="84"/>
      <c r="E629" s="8"/>
    </row>
    <row r="630" spans="3:5" ht="12.5">
      <c r="C630" s="8"/>
      <c r="D630" s="84"/>
      <c r="E630" s="8"/>
    </row>
    <row r="631" spans="3:5" ht="12.5">
      <c r="C631" s="8"/>
      <c r="D631" s="84"/>
      <c r="E631" s="8"/>
    </row>
    <row r="632" spans="3:5" ht="12.5">
      <c r="C632" s="8"/>
      <c r="D632" s="84"/>
      <c r="E632" s="8"/>
    </row>
    <row r="633" spans="3:5" ht="12.5">
      <c r="C633" s="8"/>
      <c r="D633" s="84"/>
      <c r="E633" s="8"/>
    </row>
    <row r="634" spans="3:5" ht="12.5">
      <c r="C634" s="8"/>
      <c r="D634" s="84"/>
      <c r="E634" s="8"/>
    </row>
    <row r="635" spans="3:5" ht="12.5">
      <c r="C635" s="8"/>
      <c r="D635" s="84"/>
      <c r="E635" s="8"/>
    </row>
    <row r="636" spans="3:5" ht="12.5">
      <c r="C636" s="8"/>
      <c r="D636" s="84"/>
      <c r="E636" s="8"/>
    </row>
    <row r="637" spans="3:5" ht="12.5">
      <c r="C637" s="8"/>
      <c r="D637" s="84"/>
      <c r="E637" s="8"/>
    </row>
    <row r="638" spans="3:5" ht="12.5">
      <c r="C638" s="8"/>
      <c r="D638" s="84"/>
      <c r="E638" s="8"/>
    </row>
    <row r="639" spans="3:5" ht="12.5">
      <c r="C639" s="8"/>
      <c r="D639" s="84"/>
      <c r="E639" s="8"/>
    </row>
    <row r="640" spans="3:5" ht="12.5">
      <c r="C640" s="8"/>
      <c r="D640" s="84"/>
      <c r="E640" s="8"/>
    </row>
    <row r="641" spans="3:5" ht="12.5">
      <c r="C641" s="8"/>
      <c r="D641" s="84"/>
      <c r="E641" s="8"/>
    </row>
    <row r="642" spans="3:5" ht="12.5">
      <c r="C642" s="8"/>
      <c r="D642" s="84"/>
      <c r="E642" s="8"/>
    </row>
    <row r="643" spans="3:5" ht="12.5">
      <c r="C643" s="8"/>
      <c r="D643" s="84"/>
      <c r="E643" s="8"/>
    </row>
    <row r="644" spans="3:5" ht="12.5">
      <c r="C644" s="8"/>
      <c r="D644" s="84"/>
      <c r="E644" s="8"/>
    </row>
    <row r="645" spans="3:5" ht="12.5">
      <c r="C645" s="8"/>
      <c r="D645" s="84"/>
      <c r="E645" s="8"/>
    </row>
    <row r="646" spans="3:5" ht="12.5">
      <c r="C646" s="8"/>
      <c r="D646" s="84"/>
      <c r="E646" s="8"/>
    </row>
    <row r="647" spans="3:5" ht="12.5">
      <c r="C647" s="8"/>
      <c r="D647" s="84"/>
      <c r="E647" s="8"/>
    </row>
    <row r="648" spans="3:5" ht="12.5">
      <c r="C648" s="8"/>
      <c r="D648" s="84"/>
      <c r="E648" s="8"/>
    </row>
    <row r="649" spans="3:5" ht="12.5">
      <c r="C649" s="8"/>
      <c r="D649" s="84"/>
      <c r="E649" s="8"/>
    </row>
    <row r="650" spans="3:5" ht="12.5">
      <c r="C650" s="8"/>
      <c r="D650" s="84"/>
      <c r="E650" s="8"/>
    </row>
    <row r="651" spans="3:5" ht="12.5">
      <c r="C651" s="8"/>
      <c r="D651" s="84"/>
      <c r="E651" s="8"/>
    </row>
    <row r="652" spans="3:5" ht="12.5">
      <c r="C652" s="8"/>
      <c r="D652" s="84"/>
      <c r="E652" s="8"/>
    </row>
    <row r="653" spans="3:5" ht="12.5">
      <c r="C653" s="8"/>
      <c r="D653" s="84"/>
      <c r="E653" s="8"/>
    </row>
    <row r="654" spans="3:5" ht="12.5">
      <c r="C654" s="8"/>
      <c r="D654" s="84"/>
      <c r="E654" s="8"/>
    </row>
    <row r="655" spans="3:5" ht="12.5">
      <c r="C655" s="8"/>
      <c r="D655" s="84"/>
      <c r="E655" s="8"/>
    </row>
    <row r="656" spans="3:5" ht="12.5">
      <c r="C656" s="8"/>
      <c r="D656" s="84"/>
      <c r="E656" s="8"/>
    </row>
    <row r="657" spans="3:5" ht="12.5">
      <c r="C657" s="8"/>
      <c r="D657" s="84"/>
      <c r="E657" s="8"/>
    </row>
    <row r="658" spans="3:5" ht="12.5">
      <c r="C658" s="8"/>
      <c r="D658" s="84"/>
      <c r="E658" s="8"/>
    </row>
    <row r="659" spans="3:5" ht="12.5">
      <c r="C659" s="8"/>
      <c r="D659" s="84"/>
      <c r="E659" s="8"/>
    </row>
    <row r="660" spans="3:5" ht="12.5">
      <c r="C660" s="8"/>
      <c r="D660" s="84"/>
      <c r="E660" s="8"/>
    </row>
    <row r="661" spans="3:5" ht="12.5">
      <c r="C661" s="8"/>
      <c r="D661" s="84"/>
      <c r="E661" s="8"/>
    </row>
    <row r="662" spans="3:5" ht="12.5">
      <c r="C662" s="8"/>
      <c r="D662" s="84"/>
      <c r="E662" s="8"/>
    </row>
    <row r="663" spans="3:5" ht="12.5">
      <c r="C663" s="8"/>
      <c r="D663" s="84"/>
      <c r="E663" s="8"/>
    </row>
    <row r="664" spans="3:5" ht="12.5">
      <c r="C664" s="8"/>
      <c r="D664" s="84"/>
      <c r="E664" s="8"/>
    </row>
    <row r="665" spans="3:5" ht="12.5">
      <c r="C665" s="8"/>
      <c r="D665" s="84"/>
      <c r="E665" s="8"/>
    </row>
    <row r="666" spans="3:5" ht="12.5">
      <c r="C666" s="8"/>
      <c r="D666" s="84"/>
      <c r="E666" s="8"/>
    </row>
    <row r="667" spans="3:5" ht="12.5">
      <c r="C667" s="8"/>
      <c r="D667" s="84"/>
      <c r="E667" s="8"/>
    </row>
    <row r="668" spans="3:5" ht="12.5">
      <c r="C668" s="8"/>
      <c r="D668" s="84"/>
      <c r="E668" s="8"/>
    </row>
    <row r="669" spans="3:5" ht="12.5">
      <c r="C669" s="8"/>
      <c r="D669" s="84"/>
      <c r="E669" s="8"/>
    </row>
    <row r="670" spans="3:5" ht="12.5">
      <c r="C670" s="8"/>
      <c r="D670" s="84"/>
      <c r="E670" s="8"/>
    </row>
    <row r="671" spans="3:5" ht="12.5">
      <c r="C671" s="8"/>
      <c r="D671" s="84"/>
      <c r="E671" s="8"/>
    </row>
    <row r="672" spans="3:5" ht="12.5">
      <c r="C672" s="8"/>
      <c r="D672" s="84"/>
      <c r="E672" s="8"/>
    </row>
    <row r="673" spans="3:5" ht="12.5">
      <c r="C673" s="8"/>
      <c r="D673" s="84"/>
      <c r="E673" s="8"/>
    </row>
    <row r="674" spans="3:5" ht="12.5">
      <c r="C674" s="8"/>
      <c r="D674" s="84"/>
      <c r="E674" s="8"/>
    </row>
    <row r="675" spans="3:5" ht="12.5">
      <c r="C675" s="8"/>
      <c r="D675" s="84"/>
      <c r="E675" s="8"/>
    </row>
    <row r="676" spans="3:5" ht="12.5">
      <c r="C676" s="8"/>
      <c r="D676" s="84"/>
      <c r="E676" s="8"/>
    </row>
    <row r="677" spans="3:5" ht="12.5">
      <c r="C677" s="8"/>
      <c r="D677" s="84"/>
      <c r="E677" s="8"/>
    </row>
    <row r="678" spans="3:5" ht="12.5">
      <c r="C678" s="8"/>
      <c r="D678" s="84"/>
      <c r="E678" s="8"/>
    </row>
    <row r="679" spans="3:5" ht="12.5">
      <c r="C679" s="8"/>
      <c r="D679" s="84"/>
      <c r="E679" s="8"/>
    </row>
    <row r="680" spans="3:5" ht="12.5">
      <c r="C680" s="8"/>
      <c r="D680" s="84"/>
      <c r="E680" s="8"/>
    </row>
    <row r="681" spans="3:5" ht="12.5">
      <c r="C681" s="8"/>
      <c r="D681" s="84"/>
      <c r="E681" s="8"/>
    </row>
    <row r="682" spans="3:5" ht="12.5">
      <c r="C682" s="8"/>
      <c r="D682" s="84"/>
      <c r="E682" s="8"/>
    </row>
    <row r="683" spans="3:5" ht="12.5">
      <c r="C683" s="8"/>
      <c r="D683" s="84"/>
      <c r="E683" s="8"/>
    </row>
    <row r="684" spans="3:5" ht="12.5">
      <c r="C684" s="8"/>
      <c r="D684" s="84"/>
      <c r="E684" s="8"/>
    </row>
    <row r="685" spans="3:5" ht="12.5">
      <c r="C685" s="8"/>
      <c r="D685" s="84"/>
      <c r="E685" s="8"/>
    </row>
    <row r="686" spans="3:5" ht="12.5">
      <c r="C686" s="8"/>
      <c r="D686" s="84"/>
      <c r="E686" s="8"/>
    </row>
    <row r="687" spans="3:5" ht="12.5">
      <c r="C687" s="8"/>
      <c r="D687" s="84"/>
      <c r="E687" s="8"/>
    </row>
    <row r="688" spans="3:5" ht="12.5">
      <c r="C688" s="8"/>
      <c r="D688" s="84"/>
      <c r="E688" s="8"/>
    </row>
    <row r="689" spans="3:5" ht="12.5">
      <c r="C689" s="8"/>
      <c r="D689" s="84"/>
      <c r="E689" s="8"/>
    </row>
    <row r="690" spans="3:5" ht="12.5">
      <c r="C690" s="8"/>
      <c r="D690" s="84"/>
      <c r="E690" s="8"/>
    </row>
    <row r="691" spans="3:5" ht="12.5">
      <c r="C691" s="8"/>
      <c r="D691" s="84"/>
      <c r="E691" s="8"/>
    </row>
    <row r="692" spans="3:5" ht="12.5">
      <c r="C692" s="8"/>
      <c r="D692" s="84"/>
      <c r="E692" s="8"/>
    </row>
    <row r="693" spans="3:5" ht="12.5">
      <c r="C693" s="8"/>
      <c r="D693" s="84"/>
      <c r="E693" s="8"/>
    </row>
    <row r="694" spans="3:5" ht="12.5">
      <c r="C694" s="8"/>
      <c r="D694" s="84"/>
      <c r="E694" s="8"/>
    </row>
    <row r="695" spans="3:5" ht="12.5">
      <c r="C695" s="8"/>
      <c r="D695" s="84"/>
      <c r="E695" s="8"/>
    </row>
    <row r="696" spans="3:5" ht="12.5">
      <c r="C696" s="8"/>
      <c r="D696" s="84"/>
      <c r="E696" s="8"/>
    </row>
    <row r="697" spans="3:5" ht="12.5">
      <c r="C697" s="8"/>
      <c r="D697" s="84"/>
      <c r="E697" s="8"/>
    </row>
    <row r="698" spans="3:5" ht="12.5">
      <c r="C698" s="8"/>
      <c r="D698" s="84"/>
      <c r="E698" s="8"/>
    </row>
    <row r="699" spans="3:5" ht="12.5">
      <c r="C699" s="8"/>
      <c r="D699" s="84"/>
      <c r="E699" s="8"/>
    </row>
    <row r="700" spans="3:5" ht="12.5">
      <c r="C700" s="8"/>
      <c r="D700" s="84"/>
      <c r="E700" s="8"/>
    </row>
    <row r="701" spans="3:5" ht="12.5">
      <c r="C701" s="8"/>
      <c r="D701" s="84"/>
      <c r="E701" s="8"/>
    </row>
    <row r="702" spans="3:5" ht="12.5">
      <c r="C702" s="8"/>
      <c r="D702" s="84"/>
      <c r="E702" s="8"/>
    </row>
    <row r="703" spans="3:5" ht="12.5">
      <c r="C703" s="8"/>
      <c r="D703" s="84"/>
      <c r="E703" s="8"/>
    </row>
    <row r="704" spans="3:5" ht="12.5">
      <c r="C704" s="8"/>
      <c r="D704" s="84"/>
      <c r="E704" s="8"/>
    </row>
    <row r="705" spans="3:5" ht="12.5">
      <c r="C705" s="8"/>
      <c r="D705" s="84"/>
      <c r="E705" s="8"/>
    </row>
    <row r="706" spans="3:5" ht="12.5">
      <c r="C706" s="8"/>
      <c r="D706" s="84"/>
      <c r="E706" s="8"/>
    </row>
    <row r="707" spans="3:5" ht="12.5">
      <c r="C707" s="8"/>
      <c r="D707" s="84"/>
      <c r="E707" s="8"/>
    </row>
    <row r="708" spans="3:5" ht="12.5">
      <c r="C708" s="8"/>
      <c r="D708" s="84"/>
      <c r="E708" s="8"/>
    </row>
    <row r="709" spans="3:5" ht="12.5">
      <c r="C709" s="8"/>
      <c r="D709" s="84"/>
      <c r="E709" s="8"/>
    </row>
    <row r="710" spans="3:5" ht="12.5">
      <c r="C710" s="8"/>
      <c r="D710" s="84"/>
      <c r="E710" s="8"/>
    </row>
    <row r="711" spans="3:5" ht="12.5">
      <c r="C711" s="8"/>
      <c r="D711" s="84"/>
      <c r="E711" s="8"/>
    </row>
    <row r="712" spans="3:5" ht="12.5">
      <c r="C712" s="8"/>
      <c r="D712" s="84"/>
      <c r="E712" s="8"/>
    </row>
    <row r="713" spans="3:5" ht="12.5">
      <c r="C713" s="8"/>
      <c r="D713" s="84"/>
      <c r="E713" s="8"/>
    </row>
    <row r="714" spans="3:5" ht="12.5">
      <c r="C714" s="8"/>
      <c r="D714" s="84"/>
      <c r="E714" s="8"/>
    </row>
    <row r="715" spans="3:5" ht="12.5">
      <c r="C715" s="8"/>
      <c r="D715" s="84"/>
      <c r="E715" s="8"/>
    </row>
    <row r="716" spans="3:5" ht="12.5">
      <c r="C716" s="8"/>
      <c r="D716" s="84"/>
      <c r="E716" s="8"/>
    </row>
    <row r="717" spans="3:5" ht="12.5">
      <c r="C717" s="8"/>
      <c r="D717" s="84"/>
      <c r="E717" s="8"/>
    </row>
    <row r="718" spans="3:5" ht="12.5">
      <c r="C718" s="8"/>
      <c r="D718" s="84"/>
      <c r="E718" s="8"/>
    </row>
    <row r="719" spans="3:5" ht="12.5">
      <c r="C719" s="8"/>
      <c r="D719" s="84"/>
      <c r="E719" s="8"/>
    </row>
    <row r="720" spans="3:5" ht="12.5">
      <c r="C720" s="8"/>
      <c r="D720" s="84"/>
      <c r="E720" s="8"/>
    </row>
    <row r="721" spans="3:5" ht="12.5">
      <c r="C721" s="8"/>
      <c r="D721" s="84"/>
      <c r="E721" s="8"/>
    </row>
    <row r="722" spans="3:5" ht="12.5">
      <c r="C722" s="8"/>
      <c r="D722" s="84"/>
      <c r="E722" s="8"/>
    </row>
    <row r="723" spans="3:5" ht="12.5">
      <c r="C723" s="8"/>
      <c r="D723" s="84"/>
      <c r="E723" s="8"/>
    </row>
    <row r="724" spans="3:5" ht="12.5">
      <c r="C724" s="8"/>
      <c r="D724" s="84"/>
      <c r="E724" s="8"/>
    </row>
    <row r="725" spans="3:5" ht="12.5">
      <c r="C725" s="8"/>
      <c r="D725" s="84"/>
      <c r="E725" s="8"/>
    </row>
    <row r="726" spans="3:5" ht="12.5">
      <c r="C726" s="8"/>
      <c r="D726" s="84"/>
      <c r="E726" s="8"/>
    </row>
    <row r="727" spans="3:5" ht="12.5">
      <c r="C727" s="8"/>
      <c r="D727" s="84"/>
      <c r="E727" s="8"/>
    </row>
    <row r="728" spans="3:5" ht="12.5">
      <c r="C728" s="8"/>
      <c r="D728" s="84"/>
      <c r="E728" s="8"/>
    </row>
    <row r="729" spans="3:5" ht="12.5">
      <c r="C729" s="8"/>
      <c r="D729" s="84"/>
      <c r="E729" s="8"/>
    </row>
    <row r="730" spans="3:5" ht="12.5">
      <c r="C730" s="8"/>
      <c r="D730" s="84"/>
      <c r="E730" s="8"/>
    </row>
    <row r="731" spans="3:5" ht="12.5">
      <c r="C731" s="8"/>
      <c r="D731" s="84"/>
      <c r="E731" s="8"/>
    </row>
    <row r="732" spans="3:5" ht="12.5">
      <c r="C732" s="8"/>
      <c r="D732" s="84"/>
      <c r="E732" s="8"/>
    </row>
    <row r="733" spans="3:5" ht="12.5">
      <c r="C733" s="8"/>
      <c r="D733" s="84"/>
      <c r="E733" s="8"/>
    </row>
    <row r="734" spans="3:5" ht="12.5">
      <c r="C734" s="8"/>
      <c r="D734" s="84"/>
      <c r="E734" s="8"/>
    </row>
    <row r="735" spans="3:5" ht="12.5">
      <c r="C735" s="8"/>
      <c r="D735" s="84"/>
      <c r="E735" s="8"/>
    </row>
    <row r="736" spans="3:5" ht="12.5">
      <c r="C736" s="8"/>
      <c r="D736" s="84"/>
      <c r="E736" s="8"/>
    </row>
    <row r="737" spans="3:5" ht="12.5">
      <c r="C737" s="8"/>
      <c r="D737" s="84"/>
      <c r="E737" s="8"/>
    </row>
    <row r="738" spans="3:5" ht="12.5">
      <c r="C738" s="8"/>
      <c r="D738" s="84"/>
      <c r="E738" s="8"/>
    </row>
    <row r="739" spans="3:5" ht="12.5">
      <c r="C739" s="8"/>
      <c r="D739" s="84"/>
      <c r="E739" s="8"/>
    </row>
    <row r="740" spans="3:5" ht="12.5">
      <c r="C740" s="8"/>
      <c r="D740" s="84"/>
      <c r="E740" s="8"/>
    </row>
    <row r="741" spans="3:5" ht="12.5">
      <c r="C741" s="8"/>
      <c r="D741" s="84"/>
      <c r="E741" s="8"/>
    </row>
    <row r="742" spans="3:5" ht="12.5">
      <c r="C742" s="8"/>
      <c r="D742" s="84"/>
      <c r="E742" s="8"/>
    </row>
    <row r="743" spans="3:5" ht="12.5">
      <c r="C743" s="8"/>
      <c r="D743" s="84"/>
      <c r="E743" s="8"/>
    </row>
    <row r="744" spans="3:5" ht="12.5">
      <c r="C744" s="8"/>
      <c r="D744" s="84"/>
      <c r="E744" s="8"/>
    </row>
    <row r="745" spans="3:5" ht="12.5">
      <c r="C745" s="8"/>
      <c r="D745" s="84"/>
      <c r="E745" s="8"/>
    </row>
    <row r="746" spans="3:5" ht="12.5">
      <c r="C746" s="8"/>
      <c r="D746" s="84"/>
      <c r="E746" s="8"/>
    </row>
    <row r="747" spans="3:5" ht="12.5">
      <c r="C747" s="8"/>
      <c r="D747" s="84"/>
      <c r="E747" s="8"/>
    </row>
    <row r="748" spans="3:5" ht="12.5">
      <c r="C748" s="8"/>
      <c r="D748" s="84"/>
      <c r="E748" s="8"/>
    </row>
    <row r="749" spans="3:5" ht="12.5">
      <c r="C749" s="8"/>
      <c r="D749" s="84"/>
      <c r="E749" s="8"/>
    </row>
    <row r="750" spans="3:5" ht="12.5">
      <c r="C750" s="8"/>
      <c r="D750" s="84"/>
      <c r="E750" s="8"/>
    </row>
    <row r="751" spans="3:5" ht="12.5">
      <c r="C751" s="8"/>
      <c r="D751" s="84"/>
      <c r="E751" s="8"/>
    </row>
    <row r="752" spans="3:5" ht="12.5">
      <c r="C752" s="8"/>
      <c r="D752" s="84"/>
      <c r="E752" s="8"/>
    </row>
    <row r="753" spans="3:5" ht="12.5">
      <c r="C753" s="8"/>
      <c r="D753" s="84"/>
      <c r="E753" s="8"/>
    </row>
    <row r="754" spans="3:5" ht="12.5">
      <c r="C754" s="8"/>
      <c r="D754" s="84"/>
      <c r="E754" s="8"/>
    </row>
    <row r="755" spans="3:5" ht="12.5">
      <c r="C755" s="8"/>
      <c r="D755" s="84"/>
      <c r="E755" s="8"/>
    </row>
    <row r="756" spans="3:5" ht="12.5">
      <c r="C756" s="8"/>
      <c r="D756" s="84"/>
      <c r="E756" s="8"/>
    </row>
    <row r="757" spans="3:5" ht="12.5">
      <c r="C757" s="8"/>
      <c r="D757" s="84"/>
      <c r="E757" s="8"/>
    </row>
    <row r="758" spans="3:5" ht="12.5">
      <c r="C758" s="8"/>
      <c r="D758" s="84"/>
      <c r="E758" s="8"/>
    </row>
    <row r="759" spans="3:5" ht="12.5">
      <c r="C759" s="8"/>
      <c r="D759" s="84"/>
      <c r="E759" s="8"/>
    </row>
    <row r="760" spans="3:5" ht="12.5">
      <c r="C760" s="8"/>
      <c r="D760" s="84"/>
      <c r="E760" s="8"/>
    </row>
    <row r="761" spans="3:5" ht="12.5">
      <c r="C761" s="8"/>
      <c r="D761" s="84"/>
      <c r="E761" s="8"/>
    </row>
    <row r="762" spans="3:5" ht="12.5">
      <c r="C762" s="8"/>
      <c r="D762" s="84"/>
      <c r="E762" s="8"/>
    </row>
    <row r="763" spans="3:5" ht="12.5">
      <c r="C763" s="8"/>
      <c r="D763" s="84"/>
      <c r="E763" s="8"/>
    </row>
    <row r="764" spans="3:5" ht="12.5">
      <c r="C764" s="8"/>
      <c r="D764" s="84"/>
      <c r="E764" s="8"/>
    </row>
    <row r="765" spans="3:5" ht="12.5">
      <c r="C765" s="8"/>
      <c r="D765" s="84"/>
      <c r="E765" s="8"/>
    </row>
    <row r="766" spans="3:5" ht="12.5">
      <c r="C766" s="8"/>
      <c r="D766" s="84"/>
      <c r="E766" s="8"/>
    </row>
    <row r="767" spans="3:5" ht="12.5">
      <c r="C767" s="8"/>
      <c r="D767" s="84"/>
      <c r="E767" s="8"/>
    </row>
    <row r="768" spans="3:5" ht="12.5">
      <c r="C768" s="8"/>
      <c r="D768" s="84"/>
      <c r="E768" s="8"/>
    </row>
    <row r="769" spans="3:5" ht="12.5">
      <c r="C769" s="8"/>
      <c r="D769" s="84"/>
      <c r="E769" s="8"/>
    </row>
    <row r="770" spans="3:5" ht="12.5">
      <c r="C770" s="8"/>
      <c r="D770" s="84"/>
      <c r="E770" s="8"/>
    </row>
    <row r="771" spans="3:5" ht="12.5">
      <c r="C771" s="8"/>
      <c r="D771" s="84"/>
      <c r="E771" s="8"/>
    </row>
    <row r="772" spans="3:5" ht="12.5">
      <c r="C772" s="8"/>
      <c r="D772" s="84"/>
      <c r="E772" s="8"/>
    </row>
    <row r="773" spans="3:5" ht="12.5">
      <c r="C773" s="8"/>
      <c r="D773" s="84"/>
      <c r="E773" s="8"/>
    </row>
    <row r="774" spans="3:5" ht="12.5">
      <c r="C774" s="8"/>
      <c r="D774" s="84"/>
      <c r="E774" s="8"/>
    </row>
    <row r="775" spans="3:5" ht="12.5">
      <c r="C775" s="8"/>
      <c r="D775" s="84"/>
      <c r="E775" s="8"/>
    </row>
    <row r="776" spans="3:5" ht="12.5">
      <c r="C776" s="8"/>
      <c r="D776" s="84"/>
      <c r="E776" s="8"/>
    </row>
    <row r="777" spans="3:5" ht="12.5">
      <c r="C777" s="8"/>
      <c r="D777" s="84"/>
      <c r="E777" s="8"/>
    </row>
    <row r="778" spans="3:5" ht="12.5">
      <c r="C778" s="8"/>
      <c r="D778" s="84"/>
      <c r="E778" s="8"/>
    </row>
    <row r="779" spans="3:5" ht="12.5">
      <c r="C779" s="8"/>
      <c r="D779" s="84"/>
      <c r="E779" s="8"/>
    </row>
    <row r="780" spans="3:5" ht="12.5">
      <c r="C780" s="8"/>
      <c r="D780" s="84"/>
      <c r="E780" s="8"/>
    </row>
    <row r="781" spans="3:5" ht="12.5">
      <c r="C781" s="8"/>
      <c r="D781" s="84"/>
      <c r="E781" s="8"/>
    </row>
    <row r="782" spans="3:5" ht="12.5">
      <c r="C782" s="8"/>
      <c r="D782" s="84"/>
      <c r="E782" s="8"/>
    </row>
    <row r="783" spans="3:5" ht="12.5">
      <c r="C783" s="8"/>
      <c r="D783" s="84"/>
      <c r="E783" s="8"/>
    </row>
    <row r="784" spans="3:5" ht="12.5">
      <c r="C784" s="8"/>
      <c r="D784" s="84"/>
      <c r="E784" s="8"/>
    </row>
    <row r="785" spans="3:5" ht="12.5">
      <c r="C785" s="8"/>
      <c r="D785" s="84"/>
      <c r="E785" s="8"/>
    </row>
    <row r="786" spans="3:5" ht="12.5">
      <c r="C786" s="8"/>
      <c r="D786" s="84"/>
      <c r="E786" s="8"/>
    </row>
    <row r="787" spans="3:5" ht="12.5">
      <c r="C787" s="8"/>
      <c r="D787" s="84"/>
      <c r="E787" s="8"/>
    </row>
    <row r="788" spans="3:5" ht="12.5">
      <c r="C788" s="8"/>
      <c r="D788" s="84"/>
      <c r="E788" s="8"/>
    </row>
    <row r="789" spans="3:5" ht="12.5">
      <c r="C789" s="8"/>
      <c r="D789" s="84"/>
      <c r="E789" s="8"/>
    </row>
    <row r="790" spans="3:5" ht="12.5">
      <c r="C790" s="8"/>
      <c r="D790" s="84"/>
      <c r="E790" s="8"/>
    </row>
    <row r="791" spans="3:5" ht="12.5">
      <c r="C791" s="8"/>
      <c r="D791" s="84"/>
      <c r="E791" s="8"/>
    </row>
    <row r="792" spans="3:5" ht="12.5">
      <c r="C792" s="8"/>
      <c r="D792" s="84"/>
      <c r="E792" s="8"/>
    </row>
    <row r="793" spans="3:5" ht="12.5">
      <c r="C793" s="8"/>
      <c r="D793" s="84"/>
      <c r="E793" s="8"/>
    </row>
    <row r="794" spans="3:5" ht="12.5">
      <c r="C794" s="8"/>
      <c r="D794" s="84"/>
      <c r="E794" s="8"/>
    </row>
    <row r="795" spans="3:5" ht="12.5">
      <c r="C795" s="8"/>
      <c r="D795" s="84"/>
      <c r="E795" s="8"/>
    </row>
    <row r="796" spans="3:5" ht="12.5">
      <c r="C796" s="8"/>
      <c r="D796" s="84"/>
      <c r="E796" s="8"/>
    </row>
    <row r="797" spans="3:5" ht="12.5">
      <c r="C797" s="8"/>
      <c r="D797" s="84"/>
      <c r="E797" s="8"/>
    </row>
    <row r="798" spans="3:5" ht="12.5">
      <c r="C798" s="8"/>
      <c r="D798" s="84"/>
      <c r="E798" s="8"/>
    </row>
    <row r="799" spans="3:5" ht="12.5">
      <c r="C799" s="8"/>
      <c r="D799" s="84"/>
      <c r="E799" s="8"/>
    </row>
    <row r="800" spans="3:5" ht="12.5">
      <c r="C800" s="8"/>
      <c r="D800" s="84"/>
      <c r="E800" s="8"/>
    </row>
    <row r="801" spans="3:5" ht="12.5">
      <c r="C801" s="8"/>
      <c r="D801" s="84"/>
      <c r="E801" s="8"/>
    </row>
    <row r="802" spans="3:5" ht="12.5">
      <c r="C802" s="8"/>
      <c r="D802" s="84"/>
      <c r="E802" s="8"/>
    </row>
    <row r="803" spans="3:5" ht="12.5">
      <c r="C803" s="8"/>
      <c r="D803" s="84"/>
      <c r="E803" s="8"/>
    </row>
    <row r="804" spans="3:5" ht="12.5">
      <c r="C804" s="8"/>
      <c r="D804" s="84"/>
      <c r="E804" s="8"/>
    </row>
    <row r="805" spans="3:5" ht="12.5">
      <c r="C805" s="8"/>
      <c r="D805" s="84"/>
      <c r="E805" s="8"/>
    </row>
    <row r="806" spans="3:5" ht="12.5">
      <c r="C806" s="8"/>
      <c r="D806" s="84"/>
      <c r="E806" s="8"/>
    </row>
    <row r="807" spans="3:5" ht="12.5">
      <c r="C807" s="8"/>
      <c r="D807" s="84"/>
      <c r="E807" s="8"/>
    </row>
    <row r="808" spans="3:5" ht="12.5">
      <c r="C808" s="8"/>
      <c r="D808" s="84"/>
      <c r="E808" s="8"/>
    </row>
    <row r="809" spans="3:5" ht="12.5">
      <c r="C809" s="8"/>
      <c r="D809" s="84"/>
      <c r="E809" s="8"/>
    </row>
    <row r="810" spans="3:5" ht="12.5">
      <c r="C810" s="8"/>
      <c r="D810" s="84"/>
      <c r="E810" s="8"/>
    </row>
    <row r="811" spans="3:5" ht="12.5">
      <c r="C811" s="8"/>
      <c r="D811" s="84"/>
      <c r="E811" s="8"/>
    </row>
    <row r="812" spans="3:5" ht="12.5">
      <c r="C812" s="8"/>
      <c r="D812" s="84"/>
      <c r="E812" s="8"/>
    </row>
    <row r="813" spans="3:5" ht="12.5">
      <c r="C813" s="8"/>
      <c r="D813" s="84"/>
      <c r="E813" s="8"/>
    </row>
    <row r="814" spans="3:5" ht="12.5">
      <c r="C814" s="8"/>
      <c r="D814" s="84"/>
      <c r="E814" s="8"/>
    </row>
    <row r="815" spans="3:5" ht="12.5">
      <c r="C815" s="8"/>
      <c r="D815" s="84"/>
      <c r="E815" s="8"/>
    </row>
    <row r="816" spans="3:5" ht="12.5">
      <c r="C816" s="8"/>
      <c r="D816" s="84"/>
      <c r="E816" s="8"/>
    </row>
    <row r="817" spans="3:5" ht="12.5">
      <c r="C817" s="8"/>
      <c r="D817" s="84"/>
      <c r="E817" s="8"/>
    </row>
    <row r="818" spans="3:5" ht="12.5">
      <c r="C818" s="8"/>
      <c r="D818" s="84"/>
      <c r="E818" s="8"/>
    </row>
    <row r="819" spans="3:5" ht="12.5">
      <c r="C819" s="8"/>
      <c r="D819" s="84"/>
      <c r="E819" s="8"/>
    </row>
    <row r="820" spans="3:5" ht="12.5">
      <c r="C820" s="8"/>
      <c r="D820" s="84"/>
      <c r="E820" s="8"/>
    </row>
    <row r="821" spans="3:5" ht="12.5">
      <c r="C821" s="8"/>
      <c r="D821" s="84"/>
      <c r="E821" s="8"/>
    </row>
    <row r="822" spans="3:5" ht="12.5">
      <c r="C822" s="8"/>
      <c r="D822" s="84"/>
      <c r="E822" s="8"/>
    </row>
    <row r="823" spans="3:5" ht="12.5">
      <c r="C823" s="8"/>
      <c r="D823" s="84"/>
      <c r="E823" s="8"/>
    </row>
    <row r="824" spans="3:5" ht="12.5">
      <c r="C824" s="8"/>
      <c r="D824" s="84"/>
      <c r="E824" s="8"/>
    </row>
    <row r="825" spans="3:5" ht="12.5">
      <c r="C825" s="8"/>
      <c r="D825" s="84"/>
      <c r="E825" s="8"/>
    </row>
    <row r="826" spans="3:5" ht="12.5">
      <c r="C826" s="8"/>
      <c r="D826" s="84"/>
      <c r="E826" s="8"/>
    </row>
    <row r="827" spans="3:5" ht="12.5">
      <c r="C827" s="8"/>
      <c r="D827" s="84"/>
      <c r="E827" s="8"/>
    </row>
    <row r="828" spans="3:5" ht="12.5">
      <c r="C828" s="8"/>
      <c r="D828" s="84"/>
      <c r="E828" s="8"/>
    </row>
    <row r="829" spans="3:5" ht="12.5">
      <c r="C829" s="8"/>
      <c r="D829" s="84"/>
      <c r="E829" s="8"/>
    </row>
    <row r="830" spans="3:5" ht="12.5">
      <c r="C830" s="8"/>
      <c r="D830" s="84"/>
      <c r="E830" s="8"/>
    </row>
    <row r="831" spans="3:5" ht="12.5">
      <c r="C831" s="8"/>
      <c r="D831" s="84"/>
      <c r="E831" s="8"/>
    </row>
    <row r="832" spans="3:5" ht="12.5">
      <c r="C832" s="8"/>
      <c r="D832" s="84"/>
      <c r="E832" s="8"/>
    </row>
    <row r="833" spans="3:5" ht="12.5">
      <c r="C833" s="8"/>
      <c r="D833" s="84"/>
      <c r="E833" s="8"/>
    </row>
    <row r="834" spans="3:5" ht="12.5">
      <c r="C834" s="8"/>
      <c r="D834" s="84"/>
      <c r="E834" s="8"/>
    </row>
    <row r="835" spans="3:5" ht="12.5">
      <c r="C835" s="8"/>
      <c r="D835" s="84"/>
      <c r="E835" s="8"/>
    </row>
    <row r="836" spans="3:5" ht="12.5">
      <c r="C836" s="8"/>
      <c r="D836" s="84"/>
      <c r="E836" s="8"/>
    </row>
    <row r="837" spans="3:5" ht="12.5">
      <c r="C837" s="8"/>
      <c r="D837" s="84"/>
      <c r="E837" s="8"/>
    </row>
    <row r="838" spans="3:5" ht="12.5">
      <c r="C838" s="8"/>
      <c r="D838" s="84"/>
      <c r="E838" s="8"/>
    </row>
    <row r="839" spans="3:5" ht="12.5">
      <c r="C839" s="8"/>
      <c r="D839" s="84"/>
      <c r="E839" s="8"/>
    </row>
    <row r="840" spans="3:5" ht="12.5">
      <c r="C840" s="8"/>
      <c r="D840" s="84"/>
      <c r="E840" s="8"/>
    </row>
    <row r="841" spans="3:5" ht="12.5">
      <c r="C841" s="8"/>
      <c r="D841" s="84"/>
      <c r="E841" s="8"/>
    </row>
    <row r="842" spans="3:5" ht="12.5">
      <c r="C842" s="8"/>
      <c r="D842" s="84"/>
      <c r="E842" s="8"/>
    </row>
    <row r="843" spans="3:5" ht="12.5">
      <c r="C843" s="8"/>
      <c r="D843" s="84"/>
      <c r="E843" s="8"/>
    </row>
    <row r="844" spans="3:5" ht="12.5">
      <c r="C844" s="8"/>
      <c r="D844" s="84"/>
      <c r="E844" s="8"/>
    </row>
    <row r="845" spans="3:5" ht="12.5">
      <c r="C845" s="8"/>
      <c r="D845" s="84"/>
      <c r="E845" s="8"/>
    </row>
    <row r="846" spans="3:5" ht="12.5">
      <c r="C846" s="8"/>
      <c r="D846" s="84"/>
      <c r="E846" s="8"/>
    </row>
    <row r="847" spans="3:5" ht="12.5">
      <c r="C847" s="8"/>
      <c r="D847" s="84"/>
      <c r="E847" s="8"/>
    </row>
    <row r="848" spans="3:5" ht="12.5">
      <c r="C848" s="8"/>
      <c r="D848" s="84"/>
      <c r="E848" s="8"/>
    </row>
    <row r="849" spans="3:5" ht="12.5">
      <c r="C849" s="8"/>
      <c r="D849" s="84"/>
      <c r="E849" s="8"/>
    </row>
    <row r="850" spans="3:5" ht="12.5">
      <c r="C850" s="8"/>
      <c r="D850" s="84"/>
      <c r="E850" s="8"/>
    </row>
    <row r="851" spans="3:5" ht="12.5">
      <c r="C851" s="8"/>
      <c r="D851" s="84"/>
      <c r="E851" s="8"/>
    </row>
    <row r="852" spans="3:5" ht="12.5">
      <c r="C852" s="8"/>
      <c r="D852" s="84"/>
      <c r="E852" s="8"/>
    </row>
    <row r="853" spans="3:5" ht="12.5">
      <c r="C853" s="8"/>
      <c r="D853" s="84"/>
      <c r="E853" s="8"/>
    </row>
    <row r="854" spans="3:5" ht="12.5">
      <c r="C854" s="8"/>
      <c r="D854" s="84"/>
      <c r="E854" s="8"/>
    </row>
    <row r="855" spans="3:5" ht="12.5">
      <c r="C855" s="8"/>
      <c r="D855" s="84"/>
      <c r="E855" s="8"/>
    </row>
    <row r="856" spans="3:5" ht="12.5">
      <c r="C856" s="8"/>
      <c r="D856" s="84"/>
      <c r="E856" s="8"/>
    </row>
    <row r="857" spans="3:5" ht="12.5">
      <c r="C857" s="8"/>
      <c r="D857" s="84"/>
      <c r="E857" s="8"/>
    </row>
    <row r="858" spans="3:5" ht="12.5">
      <c r="C858" s="8"/>
      <c r="D858" s="84"/>
      <c r="E858" s="8"/>
    </row>
    <row r="859" spans="3:5" ht="12.5">
      <c r="C859" s="8"/>
      <c r="D859" s="84"/>
      <c r="E859" s="8"/>
    </row>
    <row r="860" spans="3:5" ht="12.5">
      <c r="C860" s="8"/>
      <c r="D860" s="84"/>
      <c r="E860" s="8"/>
    </row>
    <row r="861" spans="3:5" ht="12.5">
      <c r="C861" s="8"/>
      <c r="D861" s="84"/>
      <c r="E861" s="8"/>
    </row>
    <row r="862" spans="3:5" ht="12.5">
      <c r="C862" s="8"/>
      <c r="D862" s="84"/>
      <c r="E862" s="8"/>
    </row>
    <row r="863" spans="3:5" ht="12.5">
      <c r="C863" s="8"/>
      <c r="D863" s="84"/>
      <c r="E863" s="8"/>
    </row>
    <row r="864" spans="3:5" ht="12.5">
      <c r="C864" s="8"/>
      <c r="D864" s="84"/>
      <c r="E864" s="8"/>
    </row>
    <row r="865" spans="3:5" ht="12.5">
      <c r="C865" s="8"/>
      <c r="D865" s="84"/>
      <c r="E865" s="8"/>
    </row>
    <row r="866" spans="3:5" ht="12.5">
      <c r="C866" s="8"/>
      <c r="D866" s="84"/>
      <c r="E866" s="8"/>
    </row>
    <row r="867" spans="3:5" ht="12.5">
      <c r="C867" s="8"/>
      <c r="D867" s="84"/>
      <c r="E867" s="8"/>
    </row>
    <row r="868" spans="3:5" ht="12.5">
      <c r="C868" s="8"/>
      <c r="D868" s="84"/>
      <c r="E868" s="8"/>
    </row>
    <row r="869" spans="3:5" ht="12.5">
      <c r="C869" s="8"/>
      <c r="D869" s="84"/>
      <c r="E869" s="8"/>
    </row>
    <row r="870" spans="3:5" ht="12.5">
      <c r="C870" s="8"/>
      <c r="D870" s="84"/>
      <c r="E870" s="8"/>
    </row>
    <row r="871" spans="3:5" ht="12.5">
      <c r="C871" s="8"/>
      <c r="D871" s="84"/>
      <c r="E871" s="8"/>
    </row>
    <row r="872" spans="3:5" ht="12.5">
      <c r="C872" s="8"/>
      <c r="D872" s="84"/>
      <c r="E872" s="8"/>
    </row>
    <row r="873" spans="3:5" ht="12.5">
      <c r="C873" s="8"/>
      <c r="D873" s="84"/>
      <c r="E873" s="8"/>
    </row>
    <row r="874" spans="3:5" ht="12.5">
      <c r="C874" s="8"/>
      <c r="D874" s="84"/>
      <c r="E874" s="8"/>
    </row>
    <row r="875" spans="3:5" ht="12.5">
      <c r="C875" s="8"/>
      <c r="D875" s="84"/>
      <c r="E875" s="8"/>
    </row>
    <row r="876" spans="3:5" ht="12.5">
      <c r="C876" s="8"/>
      <c r="D876" s="84"/>
      <c r="E876" s="8"/>
    </row>
    <row r="877" spans="3:5" ht="12.5">
      <c r="C877" s="8"/>
      <c r="D877" s="84"/>
      <c r="E877" s="8"/>
    </row>
    <row r="878" spans="3:5" ht="12.5">
      <c r="C878" s="8"/>
      <c r="D878" s="84"/>
      <c r="E878" s="8"/>
    </row>
    <row r="879" spans="3:5" ht="12.5">
      <c r="C879" s="8"/>
      <c r="D879" s="84"/>
      <c r="E879" s="8"/>
    </row>
    <row r="880" spans="3:5" ht="12.5">
      <c r="C880" s="8"/>
      <c r="D880" s="84"/>
      <c r="E880" s="8"/>
    </row>
    <row r="881" spans="3:5" ht="12.5">
      <c r="C881" s="8"/>
      <c r="D881" s="84"/>
      <c r="E881" s="8"/>
    </row>
    <row r="882" spans="3:5" ht="12.5">
      <c r="C882" s="8"/>
      <c r="D882" s="84"/>
      <c r="E882" s="8"/>
    </row>
    <row r="883" spans="3:5" ht="12.5">
      <c r="C883" s="8"/>
      <c r="D883" s="84"/>
      <c r="E883" s="8"/>
    </row>
    <row r="884" spans="3:5" ht="12.5">
      <c r="C884" s="8"/>
      <c r="D884" s="84"/>
      <c r="E884" s="8"/>
    </row>
    <row r="885" spans="3:5" ht="12.5">
      <c r="C885" s="8"/>
      <c r="D885" s="84"/>
      <c r="E885" s="8"/>
    </row>
    <row r="886" spans="3:5" ht="12.5">
      <c r="C886" s="8"/>
      <c r="D886" s="84"/>
      <c r="E886" s="8"/>
    </row>
    <row r="887" spans="3:5" ht="12.5">
      <c r="C887" s="8"/>
      <c r="D887" s="84"/>
      <c r="E887" s="8"/>
    </row>
    <row r="888" spans="3:5" ht="12.5">
      <c r="C888" s="8"/>
      <c r="D888" s="84"/>
      <c r="E888" s="8"/>
    </row>
    <row r="889" spans="3:5" ht="12.5">
      <c r="C889" s="8"/>
      <c r="D889" s="84"/>
      <c r="E889" s="8"/>
    </row>
    <row r="890" spans="3:5" ht="12.5">
      <c r="C890" s="8"/>
      <c r="D890" s="84"/>
      <c r="E890" s="8"/>
    </row>
    <row r="891" spans="3:5" ht="12.5">
      <c r="C891" s="8"/>
      <c r="D891" s="84"/>
      <c r="E891" s="8"/>
    </row>
    <row r="892" spans="3:5" ht="12.5">
      <c r="C892" s="8"/>
      <c r="D892" s="84"/>
      <c r="E892" s="8"/>
    </row>
    <row r="893" spans="3:5" ht="12.5">
      <c r="C893" s="8"/>
      <c r="D893" s="84"/>
      <c r="E893" s="8"/>
    </row>
    <row r="894" spans="3:5" ht="12.5">
      <c r="C894" s="8"/>
      <c r="D894" s="84"/>
      <c r="E894" s="8"/>
    </row>
    <row r="895" spans="3:5" ht="12.5">
      <c r="C895" s="8"/>
      <c r="D895" s="84"/>
      <c r="E895" s="8"/>
    </row>
    <row r="896" spans="3:5" ht="12.5">
      <c r="C896" s="8"/>
      <c r="D896" s="84"/>
      <c r="E896" s="8"/>
    </row>
    <row r="897" spans="3:5" ht="12.5">
      <c r="C897" s="8"/>
      <c r="D897" s="84"/>
      <c r="E897" s="8"/>
    </row>
    <row r="898" spans="3:5" ht="12.5">
      <c r="C898" s="8"/>
      <c r="D898" s="84"/>
      <c r="E898" s="8"/>
    </row>
    <row r="899" spans="3:5" ht="12.5">
      <c r="C899" s="8"/>
      <c r="D899" s="84"/>
      <c r="E899" s="8"/>
    </row>
    <row r="900" spans="3:5" ht="12.5">
      <c r="C900" s="8"/>
      <c r="D900" s="84"/>
      <c r="E900" s="8"/>
    </row>
    <row r="901" spans="3:5" ht="12.5">
      <c r="C901" s="8"/>
      <c r="D901" s="84"/>
      <c r="E901" s="8"/>
    </row>
    <row r="902" spans="3:5" ht="12.5">
      <c r="C902" s="8"/>
      <c r="D902" s="84"/>
      <c r="E902" s="8"/>
    </row>
    <row r="903" spans="3:5" ht="12.5">
      <c r="C903" s="8"/>
      <c r="D903" s="84"/>
      <c r="E903" s="8"/>
    </row>
    <row r="904" spans="3:5" ht="12.5">
      <c r="C904" s="8"/>
      <c r="D904" s="84"/>
      <c r="E904" s="8"/>
    </row>
    <row r="905" spans="3:5" ht="12.5">
      <c r="C905" s="8"/>
      <c r="D905" s="84"/>
      <c r="E905" s="8"/>
    </row>
    <row r="906" spans="3:5" ht="12.5">
      <c r="C906" s="8"/>
      <c r="D906" s="84"/>
      <c r="E906" s="8"/>
    </row>
    <row r="907" spans="3:5" ht="12.5">
      <c r="C907" s="8"/>
      <c r="D907" s="84"/>
      <c r="E907" s="8"/>
    </row>
    <row r="908" spans="3:5" ht="12.5">
      <c r="C908" s="8"/>
      <c r="D908" s="84"/>
      <c r="E908" s="8"/>
    </row>
    <row r="909" spans="3:5" ht="12.5">
      <c r="C909" s="8"/>
      <c r="D909" s="84"/>
      <c r="E909" s="8"/>
    </row>
    <row r="910" spans="3:5" ht="12.5">
      <c r="C910" s="8"/>
      <c r="D910" s="84"/>
      <c r="E910" s="8"/>
    </row>
    <row r="911" spans="3:5" ht="12.5">
      <c r="C911" s="8"/>
      <c r="D911" s="84"/>
      <c r="E911" s="8"/>
    </row>
    <row r="912" spans="3:5" ht="12.5">
      <c r="C912" s="8"/>
      <c r="D912" s="84"/>
      <c r="E912" s="8"/>
    </row>
    <row r="913" spans="3:5" ht="12.5">
      <c r="C913" s="8"/>
      <c r="D913" s="84"/>
      <c r="E913" s="8"/>
    </row>
    <row r="914" spans="3:5" ht="12.5">
      <c r="C914" s="8"/>
      <c r="D914" s="84"/>
      <c r="E914" s="8"/>
    </row>
    <row r="915" spans="3:5" ht="12.5">
      <c r="C915" s="8"/>
      <c r="D915" s="84"/>
      <c r="E915" s="8"/>
    </row>
    <row r="916" spans="3:5" ht="12.5">
      <c r="C916" s="8"/>
      <c r="D916" s="84"/>
      <c r="E916" s="8"/>
    </row>
    <row r="917" spans="3:5" ht="12.5">
      <c r="C917" s="8"/>
      <c r="D917" s="84"/>
      <c r="E917" s="8"/>
    </row>
    <row r="918" spans="3:5" ht="12.5">
      <c r="C918" s="8"/>
      <c r="D918" s="84"/>
      <c r="E918" s="8"/>
    </row>
    <row r="919" spans="3:5" ht="12.5">
      <c r="C919" s="8"/>
      <c r="D919" s="84"/>
      <c r="E919" s="8"/>
    </row>
    <row r="920" spans="3:5" ht="12.5">
      <c r="C920" s="8"/>
      <c r="D920" s="84"/>
      <c r="E920" s="8"/>
    </row>
    <row r="921" spans="3:5" ht="12.5">
      <c r="C921" s="8"/>
      <c r="D921" s="84"/>
      <c r="E921" s="8"/>
    </row>
    <row r="922" spans="3:5" ht="12.5">
      <c r="C922" s="8"/>
      <c r="D922" s="84"/>
      <c r="E922" s="8"/>
    </row>
    <row r="923" spans="3:5" ht="12.5">
      <c r="C923" s="8"/>
      <c r="D923" s="84"/>
      <c r="E923" s="8"/>
    </row>
    <row r="924" spans="3:5" ht="12.5">
      <c r="C924" s="8"/>
      <c r="D924" s="84"/>
      <c r="E924" s="8"/>
    </row>
    <row r="925" spans="3:5" ht="12.5">
      <c r="C925" s="8"/>
      <c r="D925" s="84"/>
      <c r="E925" s="8"/>
    </row>
    <row r="926" spans="3:5" ht="12.5">
      <c r="C926" s="8"/>
      <c r="D926" s="84"/>
      <c r="E926" s="8"/>
    </row>
    <row r="927" spans="3:5" ht="12.5">
      <c r="C927" s="8"/>
      <c r="D927" s="84"/>
      <c r="E927" s="8"/>
    </row>
    <row r="928" spans="3:5" ht="12.5">
      <c r="C928" s="8"/>
      <c r="D928" s="84"/>
      <c r="E928" s="8"/>
    </row>
    <row r="929" spans="3:5" ht="12.5">
      <c r="C929" s="8"/>
      <c r="D929" s="84"/>
      <c r="E929" s="8"/>
    </row>
    <row r="930" spans="3:5" ht="12.5">
      <c r="C930" s="8"/>
      <c r="D930" s="84"/>
      <c r="E930" s="8"/>
    </row>
    <row r="931" spans="3:5" ht="12.5">
      <c r="C931" s="8"/>
      <c r="D931" s="84"/>
      <c r="E931" s="8"/>
    </row>
    <row r="932" spans="3:5" ht="12.5">
      <c r="C932" s="8"/>
      <c r="D932" s="84"/>
      <c r="E932" s="8"/>
    </row>
    <row r="933" spans="3:5" ht="12.5">
      <c r="C933" s="8"/>
      <c r="D933" s="84"/>
      <c r="E933" s="8"/>
    </row>
    <row r="934" spans="3:5" ht="12.5">
      <c r="C934" s="8"/>
      <c r="D934" s="84"/>
      <c r="E934" s="8"/>
    </row>
    <row r="935" spans="3:5" ht="12.5">
      <c r="C935" s="8"/>
      <c r="D935" s="84"/>
      <c r="E935" s="8"/>
    </row>
    <row r="936" spans="3:5" ht="12.5">
      <c r="C936" s="8"/>
      <c r="D936" s="84"/>
      <c r="E936" s="8"/>
    </row>
    <row r="937" spans="3:5" ht="12.5">
      <c r="C937" s="8"/>
      <c r="D937" s="84"/>
      <c r="E937" s="8"/>
    </row>
    <row r="938" spans="3:5" ht="12.5">
      <c r="C938" s="8"/>
      <c r="D938" s="84"/>
      <c r="E938" s="8"/>
    </row>
    <row r="939" spans="3:5" ht="12.5">
      <c r="C939" s="8"/>
      <c r="D939" s="84"/>
      <c r="E939" s="8"/>
    </row>
    <row r="940" spans="3:5" ht="12.5">
      <c r="C940" s="8"/>
      <c r="D940" s="84"/>
      <c r="E940" s="8"/>
    </row>
    <row r="941" spans="3:5" ht="12.5">
      <c r="C941" s="8"/>
      <c r="D941" s="84"/>
      <c r="E941" s="8"/>
    </row>
    <row r="942" spans="3:5" ht="12.5">
      <c r="C942" s="8"/>
      <c r="D942" s="84"/>
      <c r="E942" s="8"/>
    </row>
    <row r="943" spans="3:5" ht="12.5">
      <c r="C943" s="8"/>
      <c r="D943" s="84"/>
      <c r="E943" s="8"/>
    </row>
    <row r="944" spans="3:5" ht="12.5">
      <c r="C944" s="8"/>
      <c r="D944" s="84"/>
      <c r="E944" s="8"/>
    </row>
    <row r="945" spans="3:5" ht="12.5">
      <c r="C945" s="8"/>
      <c r="D945" s="84"/>
      <c r="E945" s="8"/>
    </row>
    <row r="946" spans="3:5" ht="12.5">
      <c r="C946" s="8"/>
      <c r="D946" s="84"/>
      <c r="E946" s="8"/>
    </row>
    <row r="947" spans="3:5" ht="12.5">
      <c r="C947" s="8"/>
      <c r="D947" s="84"/>
      <c r="E947" s="8"/>
    </row>
    <row r="948" spans="3:5" ht="12.5">
      <c r="C948" s="8"/>
      <c r="D948" s="84"/>
      <c r="E948" s="8"/>
    </row>
    <row r="949" spans="3:5" ht="12.5">
      <c r="C949" s="8"/>
      <c r="D949" s="84"/>
      <c r="E949" s="8"/>
    </row>
    <row r="950" spans="3:5" ht="12.5">
      <c r="C950" s="8"/>
      <c r="D950" s="84"/>
      <c r="E950" s="8"/>
    </row>
    <row r="951" spans="3:5" ht="12.5">
      <c r="C951" s="8"/>
      <c r="D951" s="84"/>
      <c r="E951" s="8"/>
    </row>
    <row r="952" spans="3:5" ht="12.5">
      <c r="C952" s="8"/>
      <c r="D952" s="84"/>
      <c r="E952" s="8"/>
    </row>
    <row r="953" spans="3:5" ht="12.5">
      <c r="C953" s="8"/>
      <c r="D953" s="84"/>
      <c r="E953" s="8"/>
    </row>
    <row r="954" spans="3:5" ht="12.5">
      <c r="C954" s="8"/>
      <c r="D954" s="84"/>
      <c r="E954" s="8"/>
    </row>
    <row r="955" spans="3:5" ht="12.5">
      <c r="C955" s="8"/>
      <c r="D955" s="84"/>
      <c r="E955" s="8"/>
    </row>
    <row r="956" spans="3:5" ht="12.5">
      <c r="C956" s="8"/>
      <c r="D956" s="84"/>
      <c r="E956" s="8"/>
    </row>
    <row r="957" spans="3:5" ht="12.5">
      <c r="C957" s="8"/>
      <c r="D957" s="84"/>
      <c r="E957" s="8"/>
    </row>
    <row r="958" spans="3:5" ht="12.5">
      <c r="C958" s="8"/>
      <c r="D958" s="84"/>
      <c r="E958" s="8"/>
    </row>
    <row r="959" spans="3:5" ht="12.5">
      <c r="C959" s="8"/>
      <c r="D959" s="84"/>
      <c r="E959" s="8"/>
    </row>
    <row r="960" spans="3:5" ht="12.5">
      <c r="C960" s="8"/>
      <c r="D960" s="84"/>
      <c r="E960" s="8"/>
    </row>
    <row r="961" spans="3:5" ht="12.5">
      <c r="C961" s="8"/>
      <c r="D961" s="84"/>
      <c r="E961" s="8"/>
    </row>
    <row r="962" spans="3:5" ht="12.5">
      <c r="C962" s="8"/>
      <c r="D962" s="84"/>
      <c r="E962" s="8"/>
    </row>
    <row r="963" spans="3:5" ht="12.5">
      <c r="C963" s="8"/>
      <c r="D963" s="84"/>
      <c r="E963" s="8"/>
    </row>
    <row r="964" spans="3:5" ht="12.5">
      <c r="C964" s="8"/>
      <c r="D964" s="84"/>
      <c r="E964" s="8"/>
    </row>
    <row r="965" spans="3:5" ht="12.5">
      <c r="C965" s="8"/>
      <c r="D965" s="84"/>
      <c r="E965" s="8"/>
    </row>
    <row r="966" spans="3:5" ht="12.5">
      <c r="C966" s="8"/>
      <c r="D966" s="84"/>
      <c r="E966" s="8"/>
    </row>
    <row r="967" spans="3:5" ht="12.5">
      <c r="C967" s="8"/>
      <c r="D967" s="84"/>
      <c r="E967" s="8"/>
    </row>
    <row r="968" spans="3:5" ht="12.5">
      <c r="C968" s="8"/>
      <c r="D968" s="84"/>
      <c r="E968" s="8"/>
    </row>
    <row r="969" spans="3:5" ht="12.5">
      <c r="C969" s="8"/>
      <c r="D969" s="84"/>
      <c r="E969" s="8"/>
    </row>
    <row r="970" spans="3:5" ht="12.5">
      <c r="C970" s="8"/>
      <c r="D970" s="84"/>
      <c r="E970" s="8"/>
    </row>
    <row r="971" spans="3:5" ht="12.5">
      <c r="C971" s="8"/>
      <c r="D971" s="84"/>
      <c r="E971" s="8"/>
    </row>
    <row r="972" spans="3:5" ht="12.5">
      <c r="C972" s="8"/>
      <c r="D972" s="84"/>
      <c r="E972" s="8"/>
    </row>
    <row r="973" spans="3:5" ht="12.5">
      <c r="C973" s="8"/>
      <c r="D973" s="84"/>
      <c r="E973" s="8"/>
    </row>
    <row r="974" spans="3:5" ht="12.5">
      <c r="C974" s="8"/>
      <c r="D974" s="84"/>
      <c r="E974" s="8"/>
    </row>
    <row r="975" spans="3:5" ht="12.5">
      <c r="C975" s="8"/>
      <c r="D975" s="84"/>
      <c r="E975" s="8"/>
    </row>
    <row r="976" spans="3:5" ht="12.5">
      <c r="C976" s="8"/>
      <c r="D976" s="84"/>
      <c r="E976" s="8"/>
    </row>
    <row r="977" spans="3:5" ht="12.5">
      <c r="C977" s="8"/>
      <c r="D977" s="84"/>
      <c r="E977" s="8"/>
    </row>
    <row r="978" spans="3:5" ht="12.5">
      <c r="C978" s="8"/>
      <c r="D978" s="84"/>
      <c r="E978" s="8"/>
    </row>
    <row r="979" spans="3:5" ht="12.5">
      <c r="C979" s="8"/>
      <c r="D979" s="84"/>
      <c r="E979" s="8"/>
    </row>
    <row r="980" spans="3:5" ht="12.5">
      <c r="C980" s="8"/>
      <c r="D980" s="84"/>
      <c r="E980" s="8"/>
    </row>
    <row r="981" spans="3:5" ht="12.5">
      <c r="C981" s="8"/>
      <c r="D981" s="84"/>
      <c r="E981" s="8"/>
    </row>
    <row r="982" spans="3:5" ht="12.5">
      <c r="C982" s="8"/>
      <c r="D982" s="84"/>
      <c r="E982" s="8"/>
    </row>
    <row r="983" spans="3:5" ht="12.5">
      <c r="C983" s="8"/>
      <c r="D983" s="84"/>
      <c r="E983" s="8"/>
    </row>
    <row r="984" spans="3:5" ht="12.5">
      <c r="C984" s="8"/>
      <c r="D984" s="84"/>
      <c r="E984" s="8"/>
    </row>
    <row r="985" spans="3:5" ht="12.5">
      <c r="C985" s="8"/>
      <c r="D985" s="84"/>
      <c r="E985" s="8"/>
    </row>
    <row r="986" spans="3:5" ht="12.5">
      <c r="C986" s="8"/>
      <c r="D986" s="84"/>
      <c r="E986" s="8"/>
    </row>
    <row r="987" spans="3:5" ht="12.5">
      <c r="C987" s="8"/>
      <c r="D987" s="84"/>
      <c r="E987" s="8"/>
    </row>
    <row r="988" spans="3:5" ht="12.5">
      <c r="C988" s="8"/>
      <c r="D988" s="84"/>
      <c r="E988" s="8"/>
    </row>
    <row r="989" spans="3:5" ht="12.5">
      <c r="C989" s="8"/>
      <c r="D989" s="84"/>
      <c r="E989" s="8"/>
    </row>
    <row r="990" spans="3:5" ht="12.5">
      <c r="C990" s="8"/>
      <c r="D990" s="84"/>
      <c r="E990" s="8"/>
    </row>
    <row r="991" spans="3:5" ht="12.5">
      <c r="C991" s="8"/>
      <c r="D991" s="84"/>
      <c r="E991" s="8"/>
    </row>
    <row r="992" spans="3:5" ht="12.5">
      <c r="C992" s="8"/>
      <c r="D992" s="84"/>
      <c r="E992" s="8"/>
    </row>
    <row r="993" spans="3:5" ht="12.5">
      <c r="C993" s="8"/>
      <c r="D993" s="84"/>
      <c r="E993" s="8"/>
    </row>
    <row r="994" spans="3:5" ht="12.5">
      <c r="C994" s="8"/>
      <c r="D994" s="84"/>
      <c r="E994" s="8"/>
    </row>
    <row r="995" spans="3:5" ht="12.5">
      <c r="C995" s="8"/>
      <c r="D995" s="84"/>
      <c r="E995" s="8"/>
    </row>
    <row r="996" spans="3:5" ht="12.5">
      <c r="C996" s="8"/>
      <c r="D996" s="84"/>
      <c r="E996" s="8"/>
    </row>
    <row r="997" spans="3:5" ht="12.5">
      <c r="C997" s="8"/>
      <c r="D997" s="84"/>
      <c r="E997" s="8"/>
    </row>
    <row r="998" spans="3:5" ht="12.5">
      <c r="C998" s="8"/>
      <c r="D998" s="84"/>
      <c r="E998" s="8"/>
    </row>
    <row r="999" spans="3:5" ht="12.5">
      <c r="C999" s="8"/>
      <c r="D999" s="84"/>
      <c r="E999" s="8"/>
    </row>
    <row r="1000" spans="3:5" ht="12.5">
      <c r="C1000" s="8"/>
      <c r="D1000" s="84"/>
      <c r="E1000" s="8"/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000"/>
  <sheetViews>
    <sheetView workbookViewId="0"/>
  </sheetViews>
  <sheetFormatPr defaultColWidth="12.54296875" defaultRowHeight="15.75" customHeight="1"/>
  <cols>
    <col min="1" max="1" width="3.54296875" customWidth="1"/>
    <col min="2" max="2" width="19.54296875" customWidth="1"/>
    <col min="3" max="3" width="18.453125" customWidth="1"/>
    <col min="4" max="4" width="16.453125" customWidth="1"/>
    <col min="5" max="5" width="21.54296875" customWidth="1"/>
    <col min="6" max="6" width="19.54296875" customWidth="1"/>
  </cols>
  <sheetData>
    <row r="1" spans="1:6" ht="15.75" customHeight="1">
      <c r="A1" s="80"/>
      <c r="B1" s="81" t="s">
        <v>4609</v>
      </c>
      <c r="C1" s="83" t="s">
        <v>4617</v>
      </c>
      <c r="D1" s="83" t="s">
        <v>951</v>
      </c>
      <c r="E1" s="83" t="s">
        <v>4618</v>
      </c>
      <c r="F1" s="83" t="s">
        <v>4611</v>
      </c>
    </row>
    <row r="2" spans="1:6" ht="12.5">
      <c r="B2" s="20" t="s">
        <v>4619</v>
      </c>
      <c r="C2" s="84">
        <v>12000</v>
      </c>
      <c r="D2" s="84">
        <v>20000</v>
      </c>
      <c r="E2" s="84" t="s">
        <v>4620</v>
      </c>
      <c r="F2" s="84">
        <f>SUM(C2:E2)</f>
        <v>32000</v>
      </c>
    </row>
    <row r="3" spans="1:6" ht="12.5">
      <c r="B3" s="20" t="s">
        <v>4621</v>
      </c>
      <c r="C3" s="84">
        <v>13800</v>
      </c>
      <c r="D3" s="84">
        <v>18700</v>
      </c>
      <c r="E3" s="84" t="s">
        <v>4620</v>
      </c>
      <c r="F3" s="84">
        <v>32500</v>
      </c>
    </row>
    <row r="4" spans="1:6" ht="12.5">
      <c r="C4" s="84"/>
      <c r="D4" s="84"/>
      <c r="E4" s="84"/>
      <c r="F4" s="84"/>
    </row>
    <row r="5" spans="1:6" ht="12.5">
      <c r="C5" s="84"/>
      <c r="D5" s="84"/>
      <c r="E5" s="84"/>
      <c r="F5" s="84"/>
    </row>
    <row r="6" spans="1:6" ht="12.5">
      <c r="C6" s="84"/>
      <c r="D6" s="84"/>
      <c r="E6" s="84"/>
      <c r="F6" s="84"/>
    </row>
    <row r="7" spans="1:6" ht="12.5">
      <c r="C7" s="84"/>
      <c r="D7" s="84"/>
      <c r="E7" s="84"/>
      <c r="F7" s="84"/>
    </row>
    <row r="8" spans="1:6" ht="12.5">
      <c r="C8" s="84"/>
      <c r="D8" s="84"/>
      <c r="E8" s="84"/>
      <c r="F8" s="84"/>
    </row>
    <row r="9" spans="1:6" ht="12.5">
      <c r="C9" s="84"/>
      <c r="D9" s="84"/>
      <c r="E9" s="84"/>
      <c r="F9" s="84"/>
    </row>
    <row r="10" spans="1:6" ht="12.5">
      <c r="C10" s="84"/>
      <c r="D10" s="84"/>
      <c r="E10" s="84"/>
      <c r="F10" s="84"/>
    </row>
    <row r="11" spans="1:6" ht="12.5">
      <c r="C11" s="84"/>
      <c r="D11" s="84"/>
      <c r="E11" s="84"/>
      <c r="F11" s="84"/>
    </row>
    <row r="12" spans="1:6" ht="12.5">
      <c r="C12" s="84"/>
      <c r="D12" s="84"/>
      <c r="E12" s="84"/>
      <c r="F12" s="84"/>
    </row>
    <row r="13" spans="1:6" ht="12.5">
      <c r="C13" s="84"/>
      <c r="D13" s="84"/>
      <c r="E13" s="84"/>
      <c r="F13" s="84"/>
    </row>
    <row r="14" spans="1:6" ht="12.5">
      <c r="C14" s="84"/>
      <c r="D14" s="84"/>
      <c r="E14" s="84"/>
      <c r="F14" s="84"/>
    </row>
    <row r="15" spans="1:6" ht="12.5">
      <c r="C15" s="84"/>
      <c r="D15" s="84"/>
      <c r="E15" s="84"/>
      <c r="F15" s="84"/>
    </row>
    <row r="16" spans="1:6" ht="12.5">
      <c r="C16" s="84"/>
      <c r="D16" s="84"/>
      <c r="E16" s="84"/>
      <c r="F16" s="84"/>
    </row>
    <row r="17" spans="3:6" ht="12.5">
      <c r="C17" s="84"/>
      <c r="D17" s="84"/>
      <c r="E17" s="84"/>
      <c r="F17" s="84"/>
    </row>
    <row r="18" spans="3:6" ht="12.5">
      <c r="C18" s="84"/>
      <c r="D18" s="84"/>
      <c r="E18" s="84"/>
      <c r="F18" s="84"/>
    </row>
    <row r="19" spans="3:6" ht="12.5">
      <c r="C19" s="84"/>
      <c r="D19" s="84"/>
      <c r="E19" s="84"/>
      <c r="F19" s="84"/>
    </row>
    <row r="20" spans="3:6" ht="12.5">
      <c r="C20" s="84"/>
      <c r="D20" s="84"/>
      <c r="E20" s="84"/>
      <c r="F20" s="84"/>
    </row>
    <row r="21" spans="3:6" ht="12.5">
      <c r="C21" s="84"/>
      <c r="D21" s="84"/>
      <c r="E21" s="84"/>
      <c r="F21" s="84"/>
    </row>
    <row r="22" spans="3:6" ht="12.5">
      <c r="C22" s="84"/>
      <c r="D22" s="84"/>
      <c r="E22" s="84"/>
      <c r="F22" s="84"/>
    </row>
    <row r="23" spans="3:6" ht="12.5">
      <c r="C23" s="84"/>
      <c r="D23" s="84"/>
      <c r="E23" s="84"/>
      <c r="F23" s="84"/>
    </row>
    <row r="24" spans="3:6" ht="12.5">
      <c r="C24" s="84"/>
      <c r="D24" s="84"/>
      <c r="E24" s="84"/>
      <c r="F24" s="84"/>
    </row>
    <row r="25" spans="3:6" ht="12.5">
      <c r="C25" s="84"/>
      <c r="D25" s="84"/>
      <c r="E25" s="84"/>
      <c r="F25" s="84"/>
    </row>
    <row r="26" spans="3:6" ht="12.5">
      <c r="C26" s="84"/>
      <c r="D26" s="84"/>
      <c r="E26" s="84"/>
      <c r="F26" s="84"/>
    </row>
    <row r="27" spans="3:6" ht="12.5">
      <c r="C27" s="84"/>
      <c r="D27" s="84"/>
      <c r="E27" s="84"/>
      <c r="F27" s="84"/>
    </row>
    <row r="28" spans="3:6" ht="12.5">
      <c r="C28" s="84"/>
      <c r="D28" s="84"/>
      <c r="E28" s="84"/>
      <c r="F28" s="84"/>
    </row>
    <row r="29" spans="3:6" ht="12.5">
      <c r="C29" s="84"/>
      <c r="D29" s="84"/>
      <c r="E29" s="84"/>
      <c r="F29" s="84"/>
    </row>
    <row r="30" spans="3:6" ht="12.5">
      <c r="C30" s="84"/>
      <c r="D30" s="84"/>
      <c r="E30" s="84"/>
      <c r="F30" s="84"/>
    </row>
    <row r="31" spans="3:6" ht="12.5">
      <c r="C31" s="84"/>
      <c r="D31" s="84"/>
      <c r="E31" s="84"/>
      <c r="F31" s="84"/>
    </row>
    <row r="32" spans="3:6" ht="12.5">
      <c r="C32" s="84"/>
      <c r="D32" s="84"/>
      <c r="E32" s="84"/>
      <c r="F32" s="84"/>
    </row>
    <row r="33" spans="3:6" ht="12.5">
      <c r="C33" s="84"/>
      <c r="D33" s="84"/>
      <c r="E33" s="84"/>
      <c r="F33" s="84"/>
    </row>
    <row r="34" spans="3:6" ht="12.5">
      <c r="C34" s="84"/>
      <c r="D34" s="84"/>
      <c r="E34" s="84"/>
      <c r="F34" s="84"/>
    </row>
    <row r="35" spans="3:6" ht="12.5">
      <c r="C35" s="84"/>
      <c r="D35" s="84"/>
      <c r="E35" s="84"/>
      <c r="F35" s="84"/>
    </row>
    <row r="36" spans="3:6" ht="12.5">
      <c r="C36" s="84"/>
      <c r="D36" s="84"/>
      <c r="E36" s="84"/>
      <c r="F36" s="84"/>
    </row>
    <row r="37" spans="3:6" ht="12.5">
      <c r="C37" s="84"/>
      <c r="D37" s="84"/>
      <c r="E37" s="84"/>
      <c r="F37" s="84"/>
    </row>
    <row r="38" spans="3:6" ht="12.5">
      <c r="C38" s="84"/>
      <c r="D38" s="84"/>
      <c r="E38" s="84"/>
      <c r="F38" s="84"/>
    </row>
    <row r="39" spans="3:6" ht="12.5">
      <c r="C39" s="84"/>
      <c r="D39" s="84"/>
      <c r="E39" s="84"/>
      <c r="F39" s="84"/>
    </row>
    <row r="40" spans="3:6" ht="12.5">
      <c r="C40" s="84"/>
      <c r="D40" s="84"/>
      <c r="E40" s="84"/>
      <c r="F40" s="84"/>
    </row>
    <row r="41" spans="3:6" ht="12.5">
      <c r="C41" s="84"/>
      <c r="D41" s="84"/>
      <c r="E41" s="84"/>
      <c r="F41" s="84"/>
    </row>
    <row r="42" spans="3:6" ht="12.5">
      <c r="C42" s="84"/>
      <c r="D42" s="84"/>
      <c r="E42" s="84"/>
      <c r="F42" s="84"/>
    </row>
    <row r="43" spans="3:6" ht="12.5">
      <c r="C43" s="84"/>
      <c r="D43" s="84"/>
      <c r="E43" s="84"/>
      <c r="F43" s="84"/>
    </row>
    <row r="44" spans="3:6" ht="12.5">
      <c r="C44" s="84"/>
      <c r="D44" s="84"/>
      <c r="E44" s="84"/>
      <c r="F44" s="84"/>
    </row>
    <row r="45" spans="3:6" ht="12.5">
      <c r="C45" s="84"/>
      <c r="D45" s="84"/>
      <c r="E45" s="84"/>
      <c r="F45" s="84"/>
    </row>
    <row r="46" spans="3:6" ht="12.5">
      <c r="C46" s="84"/>
      <c r="D46" s="84"/>
      <c r="E46" s="84"/>
      <c r="F46" s="84"/>
    </row>
    <row r="47" spans="3:6" ht="12.5">
      <c r="C47" s="84"/>
      <c r="D47" s="84"/>
      <c r="E47" s="84"/>
      <c r="F47" s="84"/>
    </row>
    <row r="48" spans="3:6" ht="12.5">
      <c r="C48" s="84"/>
      <c r="D48" s="84"/>
      <c r="E48" s="84"/>
      <c r="F48" s="84"/>
    </row>
    <row r="49" spans="3:6" ht="12.5">
      <c r="C49" s="84"/>
      <c r="D49" s="84"/>
      <c r="E49" s="84"/>
      <c r="F49" s="84"/>
    </row>
    <row r="50" spans="3:6" ht="12.5">
      <c r="C50" s="84"/>
      <c r="D50" s="84"/>
      <c r="E50" s="84"/>
      <c r="F50" s="84"/>
    </row>
    <row r="51" spans="3:6" ht="12.5">
      <c r="C51" s="84"/>
      <c r="D51" s="84"/>
      <c r="E51" s="84"/>
      <c r="F51" s="84"/>
    </row>
    <row r="52" spans="3:6" ht="12.5">
      <c r="C52" s="84"/>
      <c r="D52" s="84"/>
      <c r="E52" s="84"/>
      <c r="F52" s="84"/>
    </row>
    <row r="53" spans="3:6" ht="12.5">
      <c r="C53" s="84"/>
      <c r="D53" s="84"/>
      <c r="E53" s="84"/>
      <c r="F53" s="84"/>
    </row>
    <row r="54" spans="3:6" ht="12.5">
      <c r="C54" s="84"/>
      <c r="D54" s="84"/>
      <c r="E54" s="84"/>
      <c r="F54" s="84"/>
    </row>
    <row r="55" spans="3:6" ht="12.5">
      <c r="C55" s="84"/>
      <c r="D55" s="84"/>
      <c r="E55" s="84"/>
      <c r="F55" s="84"/>
    </row>
    <row r="56" spans="3:6" ht="12.5">
      <c r="C56" s="84"/>
      <c r="D56" s="84"/>
      <c r="E56" s="84"/>
      <c r="F56" s="84"/>
    </row>
    <row r="57" spans="3:6" ht="12.5">
      <c r="C57" s="84"/>
      <c r="D57" s="84"/>
      <c r="E57" s="84"/>
      <c r="F57" s="84"/>
    </row>
    <row r="58" spans="3:6" ht="12.5">
      <c r="C58" s="84"/>
      <c r="D58" s="84"/>
      <c r="E58" s="84"/>
      <c r="F58" s="84"/>
    </row>
    <row r="59" spans="3:6" ht="12.5">
      <c r="C59" s="84"/>
      <c r="D59" s="84"/>
      <c r="E59" s="84"/>
      <c r="F59" s="84"/>
    </row>
    <row r="60" spans="3:6" ht="12.5">
      <c r="C60" s="84"/>
      <c r="D60" s="84"/>
      <c r="E60" s="84"/>
      <c r="F60" s="84"/>
    </row>
    <row r="61" spans="3:6" ht="12.5">
      <c r="C61" s="84"/>
      <c r="D61" s="84"/>
      <c r="E61" s="84"/>
      <c r="F61" s="84"/>
    </row>
    <row r="62" spans="3:6" ht="12.5">
      <c r="C62" s="84"/>
      <c r="D62" s="84"/>
      <c r="E62" s="84"/>
      <c r="F62" s="84"/>
    </row>
    <row r="63" spans="3:6" ht="12.5">
      <c r="C63" s="84"/>
      <c r="D63" s="84"/>
      <c r="E63" s="84"/>
      <c r="F63" s="84"/>
    </row>
    <row r="64" spans="3:6" ht="12.5">
      <c r="C64" s="84"/>
      <c r="D64" s="84"/>
      <c r="E64" s="84"/>
      <c r="F64" s="84"/>
    </row>
    <row r="65" spans="3:6" ht="12.5">
      <c r="C65" s="84"/>
      <c r="D65" s="84"/>
      <c r="E65" s="84"/>
      <c r="F65" s="84"/>
    </row>
    <row r="66" spans="3:6" ht="12.5">
      <c r="C66" s="84"/>
      <c r="D66" s="84"/>
      <c r="E66" s="84"/>
      <c r="F66" s="84"/>
    </row>
    <row r="67" spans="3:6" ht="12.5">
      <c r="C67" s="84"/>
      <c r="D67" s="84"/>
      <c r="E67" s="84"/>
      <c r="F67" s="84"/>
    </row>
    <row r="68" spans="3:6" ht="12.5">
      <c r="C68" s="84"/>
      <c r="D68" s="84"/>
      <c r="E68" s="84"/>
      <c r="F68" s="84"/>
    </row>
    <row r="69" spans="3:6" ht="12.5">
      <c r="C69" s="84"/>
      <c r="D69" s="84"/>
      <c r="E69" s="84"/>
      <c r="F69" s="84"/>
    </row>
    <row r="70" spans="3:6" ht="12.5">
      <c r="C70" s="84"/>
      <c r="D70" s="84"/>
      <c r="E70" s="84"/>
      <c r="F70" s="84"/>
    </row>
    <row r="71" spans="3:6" ht="12.5">
      <c r="C71" s="84"/>
      <c r="D71" s="84"/>
      <c r="E71" s="84"/>
      <c r="F71" s="84"/>
    </row>
    <row r="72" spans="3:6" ht="12.5">
      <c r="C72" s="84"/>
      <c r="D72" s="84"/>
      <c r="E72" s="84"/>
      <c r="F72" s="84"/>
    </row>
    <row r="73" spans="3:6" ht="12.5">
      <c r="C73" s="84"/>
      <c r="D73" s="84"/>
      <c r="E73" s="84"/>
      <c r="F73" s="84"/>
    </row>
    <row r="74" spans="3:6" ht="12.5">
      <c r="C74" s="84"/>
      <c r="D74" s="84"/>
      <c r="E74" s="84"/>
      <c r="F74" s="84"/>
    </row>
    <row r="75" spans="3:6" ht="12.5">
      <c r="C75" s="84"/>
      <c r="D75" s="84"/>
      <c r="E75" s="84"/>
      <c r="F75" s="84"/>
    </row>
    <row r="76" spans="3:6" ht="12.5">
      <c r="C76" s="84"/>
      <c r="D76" s="84"/>
      <c r="E76" s="84"/>
      <c r="F76" s="84"/>
    </row>
    <row r="77" spans="3:6" ht="12.5">
      <c r="C77" s="84"/>
      <c r="D77" s="84"/>
      <c r="E77" s="84"/>
      <c r="F77" s="84"/>
    </row>
    <row r="78" spans="3:6" ht="12.5">
      <c r="C78" s="84"/>
      <c r="D78" s="84"/>
      <c r="E78" s="84"/>
      <c r="F78" s="84"/>
    </row>
    <row r="79" spans="3:6" ht="12.5">
      <c r="C79" s="84"/>
      <c r="D79" s="84"/>
      <c r="E79" s="84"/>
      <c r="F79" s="84"/>
    </row>
    <row r="80" spans="3:6" ht="12.5">
      <c r="C80" s="84"/>
      <c r="D80" s="84"/>
      <c r="E80" s="84"/>
      <c r="F80" s="84"/>
    </row>
    <row r="81" spans="3:6" ht="12.5">
      <c r="C81" s="84"/>
      <c r="D81" s="84"/>
      <c r="E81" s="84"/>
      <c r="F81" s="84"/>
    </row>
    <row r="82" spans="3:6" ht="12.5">
      <c r="C82" s="84"/>
      <c r="D82" s="84"/>
      <c r="E82" s="84"/>
      <c r="F82" s="84"/>
    </row>
    <row r="83" spans="3:6" ht="12.5">
      <c r="C83" s="84"/>
      <c r="D83" s="84"/>
      <c r="E83" s="84"/>
      <c r="F83" s="84"/>
    </row>
    <row r="84" spans="3:6" ht="12.5">
      <c r="C84" s="84"/>
      <c r="D84" s="84"/>
      <c r="E84" s="84"/>
      <c r="F84" s="84"/>
    </row>
    <row r="85" spans="3:6" ht="12.5">
      <c r="C85" s="84"/>
      <c r="D85" s="84"/>
      <c r="E85" s="84"/>
      <c r="F85" s="84"/>
    </row>
    <row r="86" spans="3:6" ht="12.5">
      <c r="C86" s="84"/>
      <c r="D86" s="84"/>
      <c r="E86" s="84"/>
      <c r="F86" s="84"/>
    </row>
    <row r="87" spans="3:6" ht="12.5">
      <c r="C87" s="84"/>
      <c r="D87" s="84"/>
      <c r="E87" s="84"/>
      <c r="F87" s="84"/>
    </row>
    <row r="88" spans="3:6" ht="12.5">
      <c r="C88" s="84"/>
      <c r="D88" s="84"/>
      <c r="E88" s="84"/>
      <c r="F88" s="84"/>
    </row>
    <row r="89" spans="3:6" ht="12.5">
      <c r="C89" s="84"/>
      <c r="D89" s="84"/>
      <c r="E89" s="84"/>
      <c r="F89" s="84"/>
    </row>
    <row r="90" spans="3:6" ht="12.5">
      <c r="C90" s="84"/>
      <c r="D90" s="84"/>
      <c r="E90" s="84"/>
      <c r="F90" s="84"/>
    </row>
    <row r="91" spans="3:6" ht="12.5">
      <c r="C91" s="84"/>
      <c r="D91" s="84"/>
      <c r="E91" s="84"/>
      <c r="F91" s="84"/>
    </row>
    <row r="92" spans="3:6" ht="12.5">
      <c r="C92" s="84"/>
      <c r="D92" s="84"/>
      <c r="E92" s="84"/>
      <c r="F92" s="84"/>
    </row>
    <row r="93" spans="3:6" ht="12.5">
      <c r="C93" s="84"/>
      <c r="D93" s="84"/>
      <c r="E93" s="84"/>
      <c r="F93" s="84"/>
    </row>
    <row r="94" spans="3:6" ht="12.5">
      <c r="C94" s="84"/>
      <c r="D94" s="84"/>
      <c r="E94" s="84"/>
      <c r="F94" s="84"/>
    </row>
    <row r="95" spans="3:6" ht="12.5">
      <c r="C95" s="84"/>
      <c r="D95" s="84"/>
      <c r="E95" s="84"/>
      <c r="F95" s="84"/>
    </row>
    <row r="96" spans="3:6" ht="12.5">
      <c r="C96" s="84"/>
      <c r="D96" s="84"/>
      <c r="E96" s="84"/>
      <c r="F96" s="84"/>
    </row>
    <row r="97" spans="3:6" ht="12.5">
      <c r="C97" s="84"/>
      <c r="D97" s="84"/>
      <c r="E97" s="84"/>
      <c r="F97" s="84"/>
    </row>
    <row r="98" spans="3:6" ht="12.5">
      <c r="C98" s="84"/>
      <c r="D98" s="84"/>
      <c r="E98" s="84"/>
      <c r="F98" s="84"/>
    </row>
    <row r="99" spans="3:6" ht="12.5">
      <c r="C99" s="84"/>
      <c r="D99" s="84"/>
      <c r="E99" s="84"/>
      <c r="F99" s="84"/>
    </row>
    <row r="100" spans="3:6" ht="12.5">
      <c r="C100" s="84"/>
      <c r="D100" s="84"/>
      <c r="E100" s="84"/>
      <c r="F100" s="84"/>
    </row>
    <row r="101" spans="3:6" ht="12.5">
      <c r="C101" s="84"/>
      <c r="D101" s="84"/>
      <c r="E101" s="84"/>
      <c r="F101" s="84"/>
    </row>
    <row r="102" spans="3:6" ht="12.5">
      <c r="C102" s="84"/>
      <c r="D102" s="84"/>
      <c r="E102" s="84"/>
      <c r="F102" s="84"/>
    </row>
    <row r="103" spans="3:6" ht="12.5">
      <c r="C103" s="84"/>
      <c r="D103" s="84"/>
      <c r="E103" s="84"/>
      <c r="F103" s="84"/>
    </row>
    <row r="104" spans="3:6" ht="12.5">
      <c r="C104" s="84"/>
      <c r="D104" s="84"/>
      <c r="E104" s="84"/>
      <c r="F104" s="84"/>
    </row>
    <row r="105" spans="3:6" ht="12.5">
      <c r="C105" s="84"/>
      <c r="D105" s="84"/>
      <c r="E105" s="84"/>
      <c r="F105" s="84"/>
    </row>
    <row r="106" spans="3:6" ht="12.5">
      <c r="C106" s="84"/>
      <c r="D106" s="84"/>
      <c r="E106" s="84"/>
      <c r="F106" s="84"/>
    </row>
    <row r="107" spans="3:6" ht="12.5">
      <c r="C107" s="84"/>
      <c r="D107" s="84"/>
      <c r="E107" s="84"/>
      <c r="F107" s="84"/>
    </row>
    <row r="108" spans="3:6" ht="12.5">
      <c r="C108" s="84"/>
      <c r="D108" s="84"/>
      <c r="E108" s="84"/>
      <c r="F108" s="84"/>
    </row>
    <row r="109" spans="3:6" ht="12.5">
      <c r="C109" s="84"/>
      <c r="D109" s="84"/>
      <c r="E109" s="84"/>
      <c r="F109" s="84"/>
    </row>
    <row r="110" spans="3:6" ht="12.5">
      <c r="C110" s="84"/>
      <c r="D110" s="84"/>
      <c r="E110" s="84"/>
      <c r="F110" s="84"/>
    </row>
    <row r="111" spans="3:6" ht="12.5">
      <c r="C111" s="84"/>
      <c r="D111" s="84"/>
      <c r="E111" s="84"/>
      <c r="F111" s="84"/>
    </row>
    <row r="112" spans="3:6" ht="12.5">
      <c r="C112" s="84"/>
      <c r="D112" s="84"/>
      <c r="E112" s="84"/>
      <c r="F112" s="84"/>
    </row>
    <row r="113" spans="3:6" ht="12.5">
      <c r="C113" s="84"/>
      <c r="D113" s="84"/>
      <c r="E113" s="84"/>
      <c r="F113" s="84"/>
    </row>
    <row r="114" spans="3:6" ht="12.5">
      <c r="C114" s="84"/>
      <c r="D114" s="84"/>
      <c r="E114" s="84"/>
      <c r="F114" s="84"/>
    </row>
    <row r="115" spans="3:6" ht="12.5">
      <c r="C115" s="84"/>
      <c r="D115" s="84"/>
      <c r="E115" s="84"/>
      <c r="F115" s="84"/>
    </row>
    <row r="116" spans="3:6" ht="12.5">
      <c r="C116" s="84"/>
      <c r="D116" s="84"/>
      <c r="E116" s="84"/>
      <c r="F116" s="84"/>
    </row>
    <row r="117" spans="3:6" ht="12.5">
      <c r="C117" s="84"/>
      <c r="D117" s="84"/>
      <c r="E117" s="84"/>
      <c r="F117" s="84"/>
    </row>
    <row r="118" spans="3:6" ht="12.5">
      <c r="C118" s="84"/>
      <c r="D118" s="84"/>
      <c r="E118" s="84"/>
      <c r="F118" s="84"/>
    </row>
    <row r="119" spans="3:6" ht="12.5">
      <c r="C119" s="84"/>
      <c r="D119" s="84"/>
      <c r="E119" s="84"/>
      <c r="F119" s="84"/>
    </row>
    <row r="120" spans="3:6" ht="12.5">
      <c r="C120" s="84"/>
      <c r="D120" s="84"/>
      <c r="E120" s="84"/>
      <c r="F120" s="84"/>
    </row>
    <row r="121" spans="3:6" ht="12.5">
      <c r="C121" s="84"/>
      <c r="D121" s="84"/>
      <c r="E121" s="84"/>
      <c r="F121" s="84"/>
    </row>
    <row r="122" spans="3:6" ht="12.5">
      <c r="C122" s="84"/>
      <c r="D122" s="84"/>
      <c r="E122" s="84"/>
      <c r="F122" s="84"/>
    </row>
    <row r="123" spans="3:6" ht="12.5">
      <c r="C123" s="84"/>
      <c r="D123" s="84"/>
      <c r="E123" s="84"/>
      <c r="F123" s="84"/>
    </row>
    <row r="124" spans="3:6" ht="12.5">
      <c r="C124" s="84"/>
      <c r="D124" s="84"/>
      <c r="E124" s="84"/>
      <c r="F124" s="84"/>
    </row>
    <row r="125" spans="3:6" ht="12.5">
      <c r="C125" s="84"/>
      <c r="D125" s="84"/>
      <c r="E125" s="84"/>
      <c r="F125" s="84"/>
    </row>
    <row r="126" spans="3:6" ht="12.5">
      <c r="C126" s="84"/>
      <c r="D126" s="84"/>
      <c r="E126" s="84"/>
      <c r="F126" s="84"/>
    </row>
    <row r="127" spans="3:6" ht="12.5">
      <c r="C127" s="84"/>
      <c r="D127" s="84"/>
      <c r="E127" s="84"/>
      <c r="F127" s="84"/>
    </row>
    <row r="128" spans="3:6" ht="12.5">
      <c r="C128" s="84"/>
      <c r="D128" s="84"/>
      <c r="E128" s="84"/>
      <c r="F128" s="84"/>
    </row>
    <row r="129" spans="3:6" ht="12.5">
      <c r="C129" s="84"/>
      <c r="D129" s="84"/>
      <c r="E129" s="84"/>
      <c r="F129" s="84"/>
    </row>
    <row r="130" spans="3:6" ht="12.5">
      <c r="C130" s="84"/>
      <c r="D130" s="84"/>
      <c r="E130" s="84"/>
      <c r="F130" s="84"/>
    </row>
    <row r="131" spans="3:6" ht="12.5">
      <c r="C131" s="84"/>
      <c r="D131" s="84"/>
      <c r="E131" s="84"/>
      <c r="F131" s="84"/>
    </row>
    <row r="132" spans="3:6" ht="12.5">
      <c r="C132" s="84"/>
      <c r="D132" s="84"/>
      <c r="E132" s="84"/>
      <c r="F132" s="84"/>
    </row>
    <row r="133" spans="3:6" ht="12.5">
      <c r="C133" s="84"/>
      <c r="D133" s="84"/>
      <c r="E133" s="84"/>
      <c r="F133" s="84"/>
    </row>
    <row r="134" spans="3:6" ht="12.5">
      <c r="C134" s="84"/>
      <c r="D134" s="84"/>
      <c r="E134" s="84"/>
      <c r="F134" s="84"/>
    </row>
    <row r="135" spans="3:6" ht="12.5">
      <c r="C135" s="84"/>
      <c r="D135" s="84"/>
      <c r="E135" s="84"/>
      <c r="F135" s="84"/>
    </row>
    <row r="136" spans="3:6" ht="12.5">
      <c r="C136" s="84"/>
      <c r="D136" s="84"/>
      <c r="E136" s="84"/>
      <c r="F136" s="84"/>
    </row>
    <row r="137" spans="3:6" ht="12.5">
      <c r="C137" s="84"/>
      <c r="D137" s="84"/>
      <c r="E137" s="84"/>
      <c r="F137" s="84"/>
    </row>
    <row r="138" spans="3:6" ht="12.5">
      <c r="C138" s="84"/>
      <c r="D138" s="84"/>
      <c r="E138" s="84"/>
      <c r="F138" s="84"/>
    </row>
    <row r="139" spans="3:6" ht="12.5">
      <c r="C139" s="84"/>
      <c r="D139" s="84"/>
      <c r="E139" s="84"/>
      <c r="F139" s="84"/>
    </row>
    <row r="140" spans="3:6" ht="12.5">
      <c r="C140" s="84"/>
      <c r="D140" s="84"/>
      <c r="E140" s="84"/>
      <c r="F140" s="84"/>
    </row>
    <row r="141" spans="3:6" ht="12.5">
      <c r="C141" s="84"/>
      <c r="D141" s="84"/>
      <c r="E141" s="84"/>
      <c r="F141" s="84"/>
    </row>
    <row r="142" spans="3:6" ht="12.5">
      <c r="C142" s="84"/>
      <c r="D142" s="84"/>
      <c r="E142" s="84"/>
      <c r="F142" s="84"/>
    </row>
    <row r="143" spans="3:6" ht="12.5">
      <c r="C143" s="84"/>
      <c r="D143" s="84"/>
      <c r="E143" s="84"/>
      <c r="F143" s="84"/>
    </row>
    <row r="144" spans="3:6" ht="12.5">
      <c r="C144" s="84"/>
      <c r="D144" s="84"/>
      <c r="E144" s="84"/>
      <c r="F144" s="84"/>
    </row>
    <row r="145" spans="3:6" ht="12.5">
      <c r="C145" s="84"/>
      <c r="D145" s="84"/>
      <c r="E145" s="84"/>
      <c r="F145" s="84"/>
    </row>
    <row r="146" spans="3:6" ht="12.5">
      <c r="C146" s="84"/>
      <c r="D146" s="84"/>
      <c r="E146" s="84"/>
      <c r="F146" s="84"/>
    </row>
    <row r="147" spans="3:6" ht="12.5">
      <c r="C147" s="84"/>
      <c r="D147" s="84"/>
      <c r="E147" s="84"/>
      <c r="F147" s="84"/>
    </row>
    <row r="148" spans="3:6" ht="12.5">
      <c r="C148" s="84"/>
      <c r="D148" s="84"/>
      <c r="E148" s="84"/>
      <c r="F148" s="84"/>
    </row>
    <row r="149" spans="3:6" ht="12.5">
      <c r="C149" s="84"/>
      <c r="D149" s="84"/>
      <c r="E149" s="84"/>
      <c r="F149" s="84"/>
    </row>
    <row r="150" spans="3:6" ht="12.5">
      <c r="C150" s="84"/>
      <c r="D150" s="84"/>
      <c r="E150" s="84"/>
      <c r="F150" s="84"/>
    </row>
    <row r="151" spans="3:6" ht="12.5">
      <c r="C151" s="84"/>
      <c r="D151" s="84"/>
      <c r="E151" s="84"/>
      <c r="F151" s="84"/>
    </row>
    <row r="152" spans="3:6" ht="12.5">
      <c r="C152" s="84"/>
      <c r="D152" s="84"/>
      <c r="E152" s="84"/>
      <c r="F152" s="84"/>
    </row>
    <row r="153" spans="3:6" ht="12.5">
      <c r="C153" s="84"/>
      <c r="D153" s="84"/>
      <c r="E153" s="84"/>
      <c r="F153" s="84"/>
    </row>
    <row r="154" spans="3:6" ht="12.5">
      <c r="C154" s="84"/>
      <c r="D154" s="84"/>
      <c r="E154" s="84"/>
      <c r="F154" s="84"/>
    </row>
    <row r="155" spans="3:6" ht="12.5">
      <c r="C155" s="84"/>
      <c r="D155" s="84"/>
      <c r="E155" s="84"/>
      <c r="F155" s="84"/>
    </row>
    <row r="156" spans="3:6" ht="12.5">
      <c r="C156" s="84"/>
      <c r="D156" s="84"/>
      <c r="E156" s="84"/>
      <c r="F156" s="84"/>
    </row>
    <row r="157" spans="3:6" ht="12.5">
      <c r="C157" s="84"/>
      <c r="D157" s="84"/>
      <c r="E157" s="84"/>
      <c r="F157" s="84"/>
    </row>
    <row r="158" spans="3:6" ht="12.5">
      <c r="C158" s="84"/>
      <c r="D158" s="84"/>
      <c r="E158" s="84"/>
      <c r="F158" s="84"/>
    </row>
    <row r="159" spans="3:6" ht="12.5">
      <c r="C159" s="84"/>
      <c r="D159" s="84"/>
      <c r="E159" s="84"/>
      <c r="F159" s="84"/>
    </row>
    <row r="160" spans="3:6" ht="12.5">
      <c r="C160" s="84"/>
      <c r="D160" s="84"/>
      <c r="E160" s="84"/>
      <c r="F160" s="84"/>
    </row>
    <row r="161" spans="3:6" ht="12.5">
      <c r="C161" s="84"/>
      <c r="D161" s="84"/>
      <c r="E161" s="84"/>
      <c r="F161" s="84"/>
    </row>
    <row r="162" spans="3:6" ht="12.5">
      <c r="C162" s="84"/>
      <c r="D162" s="84"/>
      <c r="E162" s="84"/>
      <c r="F162" s="84"/>
    </row>
    <row r="163" spans="3:6" ht="12.5">
      <c r="C163" s="84"/>
      <c r="D163" s="84"/>
      <c r="E163" s="84"/>
      <c r="F163" s="84"/>
    </row>
    <row r="164" spans="3:6" ht="12.5">
      <c r="C164" s="84"/>
      <c r="D164" s="84"/>
      <c r="E164" s="84"/>
      <c r="F164" s="84"/>
    </row>
    <row r="165" spans="3:6" ht="12.5">
      <c r="C165" s="84"/>
      <c r="D165" s="84"/>
      <c r="E165" s="84"/>
      <c r="F165" s="84"/>
    </row>
    <row r="166" spans="3:6" ht="12.5">
      <c r="C166" s="84"/>
      <c r="D166" s="84"/>
      <c r="E166" s="84"/>
      <c r="F166" s="84"/>
    </row>
    <row r="167" spans="3:6" ht="12.5">
      <c r="C167" s="84"/>
      <c r="D167" s="84"/>
      <c r="E167" s="84"/>
      <c r="F167" s="84"/>
    </row>
    <row r="168" spans="3:6" ht="12.5">
      <c r="C168" s="84"/>
      <c r="D168" s="84"/>
      <c r="E168" s="84"/>
      <c r="F168" s="84"/>
    </row>
    <row r="169" spans="3:6" ht="12.5">
      <c r="C169" s="84"/>
      <c r="D169" s="84"/>
      <c r="E169" s="84"/>
      <c r="F169" s="84"/>
    </row>
    <row r="170" spans="3:6" ht="12.5">
      <c r="C170" s="84"/>
      <c r="D170" s="84"/>
      <c r="E170" s="84"/>
      <c r="F170" s="84"/>
    </row>
    <row r="171" spans="3:6" ht="12.5">
      <c r="C171" s="84"/>
      <c r="D171" s="84"/>
      <c r="E171" s="84"/>
      <c r="F171" s="84"/>
    </row>
    <row r="172" spans="3:6" ht="12.5">
      <c r="C172" s="84"/>
      <c r="D172" s="84"/>
      <c r="E172" s="84"/>
      <c r="F172" s="84"/>
    </row>
    <row r="173" spans="3:6" ht="12.5">
      <c r="C173" s="84"/>
      <c r="D173" s="84"/>
      <c r="E173" s="84"/>
      <c r="F173" s="84"/>
    </row>
    <row r="174" spans="3:6" ht="12.5">
      <c r="C174" s="84"/>
      <c r="D174" s="84"/>
      <c r="E174" s="84"/>
      <c r="F174" s="84"/>
    </row>
    <row r="175" spans="3:6" ht="12.5">
      <c r="C175" s="84"/>
      <c r="D175" s="84"/>
      <c r="E175" s="84"/>
      <c r="F175" s="84"/>
    </row>
    <row r="176" spans="3:6" ht="12.5">
      <c r="C176" s="84"/>
      <c r="D176" s="84"/>
      <c r="E176" s="84"/>
      <c r="F176" s="84"/>
    </row>
    <row r="177" spans="3:6" ht="12.5">
      <c r="C177" s="84"/>
      <c r="D177" s="84"/>
      <c r="E177" s="84"/>
      <c r="F177" s="84"/>
    </row>
    <row r="178" spans="3:6" ht="12.5">
      <c r="C178" s="84"/>
      <c r="D178" s="84"/>
      <c r="E178" s="84"/>
      <c r="F178" s="84"/>
    </row>
    <row r="179" spans="3:6" ht="12.5">
      <c r="C179" s="84"/>
      <c r="D179" s="84"/>
      <c r="E179" s="84"/>
      <c r="F179" s="84"/>
    </row>
    <row r="180" spans="3:6" ht="12.5">
      <c r="C180" s="84"/>
      <c r="D180" s="84"/>
      <c r="E180" s="84"/>
      <c r="F180" s="84"/>
    </row>
    <row r="181" spans="3:6" ht="12.5">
      <c r="C181" s="84"/>
      <c r="D181" s="84"/>
      <c r="E181" s="84"/>
      <c r="F181" s="84"/>
    </row>
    <row r="182" spans="3:6" ht="12.5">
      <c r="C182" s="84"/>
      <c r="D182" s="84"/>
      <c r="E182" s="84"/>
      <c r="F182" s="84"/>
    </row>
    <row r="183" spans="3:6" ht="12.5">
      <c r="C183" s="84"/>
      <c r="D183" s="84"/>
      <c r="E183" s="84"/>
      <c r="F183" s="84"/>
    </row>
    <row r="184" spans="3:6" ht="12.5">
      <c r="C184" s="84"/>
      <c r="D184" s="84"/>
      <c r="E184" s="84"/>
      <c r="F184" s="84"/>
    </row>
    <row r="185" spans="3:6" ht="12.5">
      <c r="C185" s="84"/>
      <c r="D185" s="84"/>
      <c r="E185" s="84"/>
      <c r="F185" s="84"/>
    </row>
    <row r="186" spans="3:6" ht="12.5">
      <c r="C186" s="84"/>
      <c r="D186" s="84"/>
      <c r="E186" s="84"/>
      <c r="F186" s="84"/>
    </row>
    <row r="187" spans="3:6" ht="12.5">
      <c r="C187" s="84"/>
      <c r="D187" s="84"/>
      <c r="E187" s="84"/>
      <c r="F187" s="84"/>
    </row>
    <row r="188" spans="3:6" ht="12.5">
      <c r="C188" s="84"/>
      <c r="D188" s="84"/>
      <c r="E188" s="84"/>
      <c r="F188" s="84"/>
    </row>
    <row r="189" spans="3:6" ht="12.5">
      <c r="C189" s="84"/>
      <c r="D189" s="84"/>
      <c r="E189" s="84"/>
      <c r="F189" s="84"/>
    </row>
    <row r="190" spans="3:6" ht="12.5">
      <c r="C190" s="84"/>
      <c r="D190" s="84"/>
      <c r="E190" s="84"/>
      <c r="F190" s="84"/>
    </row>
    <row r="191" spans="3:6" ht="12.5">
      <c r="C191" s="84"/>
      <c r="D191" s="84"/>
      <c r="E191" s="84"/>
      <c r="F191" s="84"/>
    </row>
    <row r="192" spans="3:6" ht="12.5">
      <c r="C192" s="84"/>
      <c r="D192" s="84"/>
      <c r="E192" s="84"/>
      <c r="F192" s="84"/>
    </row>
    <row r="193" spans="3:6" ht="12.5">
      <c r="C193" s="84"/>
      <c r="D193" s="84"/>
      <c r="E193" s="84"/>
      <c r="F193" s="84"/>
    </row>
    <row r="194" spans="3:6" ht="12.5">
      <c r="C194" s="84"/>
      <c r="D194" s="84"/>
      <c r="E194" s="84"/>
      <c r="F194" s="84"/>
    </row>
    <row r="195" spans="3:6" ht="12.5">
      <c r="C195" s="84"/>
      <c r="D195" s="84"/>
      <c r="E195" s="84"/>
      <c r="F195" s="84"/>
    </row>
    <row r="196" spans="3:6" ht="12.5">
      <c r="C196" s="84"/>
      <c r="D196" s="84"/>
      <c r="E196" s="84"/>
      <c r="F196" s="84"/>
    </row>
    <row r="197" spans="3:6" ht="12.5">
      <c r="C197" s="84"/>
      <c r="D197" s="84"/>
      <c r="E197" s="84"/>
      <c r="F197" s="84"/>
    </row>
    <row r="198" spans="3:6" ht="12.5">
      <c r="C198" s="84"/>
      <c r="D198" s="84"/>
      <c r="E198" s="84"/>
      <c r="F198" s="84"/>
    </row>
    <row r="199" spans="3:6" ht="12.5">
      <c r="C199" s="84"/>
      <c r="D199" s="84"/>
      <c r="E199" s="84"/>
      <c r="F199" s="84"/>
    </row>
    <row r="200" spans="3:6" ht="12.5">
      <c r="C200" s="84"/>
      <c r="D200" s="84"/>
      <c r="E200" s="84"/>
      <c r="F200" s="84"/>
    </row>
    <row r="201" spans="3:6" ht="12.5">
      <c r="C201" s="84"/>
      <c r="D201" s="84"/>
      <c r="E201" s="84"/>
      <c r="F201" s="84"/>
    </row>
    <row r="202" spans="3:6" ht="12.5">
      <c r="C202" s="84"/>
      <c r="D202" s="84"/>
      <c r="E202" s="84"/>
      <c r="F202" s="84"/>
    </row>
    <row r="203" spans="3:6" ht="12.5">
      <c r="C203" s="84"/>
      <c r="D203" s="84"/>
      <c r="E203" s="84"/>
      <c r="F203" s="84"/>
    </row>
    <row r="204" spans="3:6" ht="12.5">
      <c r="C204" s="84"/>
      <c r="D204" s="84"/>
      <c r="E204" s="84"/>
      <c r="F204" s="84"/>
    </row>
    <row r="205" spans="3:6" ht="12.5">
      <c r="C205" s="84"/>
      <c r="D205" s="84"/>
      <c r="E205" s="84"/>
      <c r="F205" s="84"/>
    </row>
    <row r="206" spans="3:6" ht="12.5">
      <c r="C206" s="84"/>
      <c r="D206" s="84"/>
      <c r="E206" s="84"/>
      <c r="F206" s="84"/>
    </row>
    <row r="207" spans="3:6" ht="12.5">
      <c r="C207" s="84"/>
      <c r="D207" s="84"/>
      <c r="E207" s="84"/>
      <c r="F207" s="84"/>
    </row>
    <row r="208" spans="3:6" ht="12.5">
      <c r="C208" s="84"/>
      <c r="D208" s="84"/>
      <c r="E208" s="84"/>
      <c r="F208" s="84"/>
    </row>
    <row r="209" spans="3:6" ht="12.5">
      <c r="C209" s="84"/>
      <c r="D209" s="84"/>
      <c r="E209" s="84"/>
      <c r="F209" s="84"/>
    </row>
    <row r="210" spans="3:6" ht="12.5">
      <c r="C210" s="84"/>
      <c r="D210" s="84"/>
      <c r="E210" s="84"/>
      <c r="F210" s="84"/>
    </row>
    <row r="211" spans="3:6" ht="12.5">
      <c r="C211" s="84"/>
      <c r="D211" s="84"/>
      <c r="E211" s="84"/>
      <c r="F211" s="84"/>
    </row>
    <row r="212" spans="3:6" ht="12.5">
      <c r="C212" s="84"/>
      <c r="D212" s="84"/>
      <c r="E212" s="84"/>
      <c r="F212" s="84"/>
    </row>
    <row r="213" spans="3:6" ht="12.5">
      <c r="C213" s="84"/>
      <c r="D213" s="84"/>
      <c r="E213" s="84"/>
      <c r="F213" s="84"/>
    </row>
    <row r="214" spans="3:6" ht="12.5">
      <c r="C214" s="84"/>
      <c r="D214" s="84"/>
      <c r="E214" s="84"/>
      <c r="F214" s="84"/>
    </row>
    <row r="215" spans="3:6" ht="12.5">
      <c r="C215" s="84"/>
      <c r="D215" s="84"/>
      <c r="E215" s="84"/>
      <c r="F215" s="84"/>
    </row>
    <row r="216" spans="3:6" ht="12.5">
      <c r="C216" s="84"/>
      <c r="D216" s="84"/>
      <c r="E216" s="84"/>
      <c r="F216" s="84"/>
    </row>
    <row r="217" spans="3:6" ht="12.5">
      <c r="C217" s="84"/>
      <c r="D217" s="84"/>
      <c r="E217" s="84"/>
      <c r="F217" s="84"/>
    </row>
    <row r="218" spans="3:6" ht="12.5">
      <c r="C218" s="84"/>
      <c r="D218" s="84"/>
      <c r="E218" s="84"/>
      <c r="F218" s="84"/>
    </row>
    <row r="219" spans="3:6" ht="12.5">
      <c r="C219" s="84"/>
      <c r="D219" s="84"/>
      <c r="E219" s="84"/>
      <c r="F219" s="84"/>
    </row>
    <row r="220" spans="3:6" ht="12.5">
      <c r="C220" s="84"/>
      <c r="D220" s="84"/>
      <c r="E220" s="84"/>
      <c r="F220" s="84"/>
    </row>
    <row r="221" spans="3:6" ht="12.5">
      <c r="C221" s="84"/>
      <c r="D221" s="84"/>
      <c r="E221" s="84"/>
      <c r="F221" s="84"/>
    </row>
    <row r="222" spans="3:6" ht="12.5">
      <c r="C222" s="84"/>
      <c r="D222" s="84"/>
      <c r="E222" s="84"/>
      <c r="F222" s="84"/>
    </row>
    <row r="223" spans="3:6" ht="12.5">
      <c r="C223" s="84"/>
      <c r="D223" s="84"/>
      <c r="E223" s="84"/>
      <c r="F223" s="84"/>
    </row>
    <row r="224" spans="3:6" ht="12.5">
      <c r="C224" s="84"/>
      <c r="D224" s="84"/>
      <c r="E224" s="84"/>
      <c r="F224" s="84"/>
    </row>
    <row r="225" spans="3:6" ht="12.5">
      <c r="C225" s="84"/>
      <c r="D225" s="84"/>
      <c r="E225" s="84"/>
      <c r="F225" s="84"/>
    </row>
    <row r="226" spans="3:6" ht="12.5">
      <c r="C226" s="84"/>
      <c r="D226" s="84"/>
      <c r="E226" s="84"/>
      <c r="F226" s="84"/>
    </row>
    <row r="227" spans="3:6" ht="12.5">
      <c r="C227" s="84"/>
      <c r="D227" s="84"/>
      <c r="E227" s="84"/>
      <c r="F227" s="84"/>
    </row>
    <row r="228" spans="3:6" ht="12.5">
      <c r="C228" s="84"/>
      <c r="D228" s="84"/>
      <c r="E228" s="84"/>
      <c r="F228" s="84"/>
    </row>
    <row r="229" spans="3:6" ht="12.5">
      <c r="C229" s="84"/>
      <c r="D229" s="84"/>
      <c r="E229" s="84"/>
      <c r="F229" s="84"/>
    </row>
    <row r="230" spans="3:6" ht="12.5">
      <c r="C230" s="84"/>
      <c r="D230" s="84"/>
      <c r="E230" s="84"/>
      <c r="F230" s="84"/>
    </row>
    <row r="231" spans="3:6" ht="12.5">
      <c r="C231" s="84"/>
      <c r="D231" s="84"/>
      <c r="E231" s="84"/>
      <c r="F231" s="84"/>
    </row>
    <row r="232" spans="3:6" ht="12.5">
      <c r="C232" s="84"/>
      <c r="D232" s="84"/>
      <c r="E232" s="84"/>
      <c r="F232" s="84"/>
    </row>
    <row r="233" spans="3:6" ht="12.5">
      <c r="C233" s="84"/>
      <c r="D233" s="84"/>
      <c r="E233" s="84"/>
      <c r="F233" s="84"/>
    </row>
    <row r="234" spans="3:6" ht="12.5">
      <c r="C234" s="84"/>
      <c r="D234" s="84"/>
      <c r="E234" s="84"/>
      <c r="F234" s="84"/>
    </row>
    <row r="235" spans="3:6" ht="12.5">
      <c r="C235" s="84"/>
      <c r="D235" s="84"/>
      <c r="E235" s="84"/>
      <c r="F235" s="84"/>
    </row>
    <row r="236" spans="3:6" ht="12.5">
      <c r="C236" s="84"/>
      <c r="D236" s="84"/>
      <c r="E236" s="84"/>
      <c r="F236" s="84"/>
    </row>
    <row r="237" spans="3:6" ht="12.5">
      <c r="C237" s="84"/>
      <c r="D237" s="84"/>
      <c r="E237" s="84"/>
      <c r="F237" s="84"/>
    </row>
    <row r="238" spans="3:6" ht="12.5">
      <c r="C238" s="84"/>
      <c r="D238" s="84"/>
      <c r="E238" s="84"/>
      <c r="F238" s="84"/>
    </row>
    <row r="239" spans="3:6" ht="12.5">
      <c r="C239" s="84"/>
      <c r="D239" s="84"/>
      <c r="E239" s="84"/>
      <c r="F239" s="84"/>
    </row>
    <row r="240" spans="3:6" ht="12.5">
      <c r="C240" s="84"/>
      <c r="D240" s="84"/>
      <c r="E240" s="84"/>
      <c r="F240" s="84"/>
    </row>
    <row r="241" spans="3:6" ht="12.5">
      <c r="C241" s="84"/>
      <c r="D241" s="84"/>
      <c r="E241" s="84"/>
      <c r="F241" s="84"/>
    </row>
    <row r="242" spans="3:6" ht="12.5">
      <c r="C242" s="84"/>
      <c r="D242" s="84"/>
      <c r="E242" s="84"/>
      <c r="F242" s="84"/>
    </row>
    <row r="243" spans="3:6" ht="12.5">
      <c r="C243" s="84"/>
      <c r="D243" s="84"/>
      <c r="E243" s="84"/>
      <c r="F243" s="84"/>
    </row>
    <row r="244" spans="3:6" ht="12.5">
      <c r="C244" s="84"/>
      <c r="D244" s="84"/>
      <c r="E244" s="84"/>
      <c r="F244" s="84"/>
    </row>
    <row r="245" spans="3:6" ht="12.5">
      <c r="C245" s="84"/>
      <c r="D245" s="84"/>
      <c r="E245" s="84"/>
      <c r="F245" s="84"/>
    </row>
    <row r="246" spans="3:6" ht="12.5">
      <c r="C246" s="84"/>
      <c r="D246" s="84"/>
      <c r="E246" s="84"/>
      <c r="F246" s="84"/>
    </row>
    <row r="247" spans="3:6" ht="12.5">
      <c r="C247" s="84"/>
      <c r="D247" s="84"/>
      <c r="E247" s="84"/>
      <c r="F247" s="84"/>
    </row>
    <row r="248" spans="3:6" ht="12.5">
      <c r="C248" s="84"/>
      <c r="D248" s="84"/>
      <c r="E248" s="84"/>
      <c r="F248" s="84"/>
    </row>
    <row r="249" spans="3:6" ht="12.5">
      <c r="C249" s="84"/>
      <c r="D249" s="84"/>
      <c r="E249" s="84"/>
      <c r="F249" s="84"/>
    </row>
    <row r="250" spans="3:6" ht="12.5">
      <c r="C250" s="84"/>
      <c r="D250" s="84"/>
      <c r="E250" s="84"/>
      <c r="F250" s="84"/>
    </row>
    <row r="251" spans="3:6" ht="12.5">
      <c r="C251" s="84"/>
      <c r="D251" s="84"/>
      <c r="E251" s="84"/>
      <c r="F251" s="84"/>
    </row>
    <row r="252" spans="3:6" ht="12.5">
      <c r="C252" s="84"/>
      <c r="D252" s="84"/>
      <c r="E252" s="84"/>
      <c r="F252" s="84"/>
    </row>
    <row r="253" spans="3:6" ht="12.5">
      <c r="C253" s="84"/>
      <c r="D253" s="84"/>
      <c r="E253" s="84"/>
      <c r="F253" s="84"/>
    </row>
    <row r="254" spans="3:6" ht="12.5">
      <c r="C254" s="84"/>
      <c r="D254" s="84"/>
      <c r="E254" s="84"/>
      <c r="F254" s="84"/>
    </row>
    <row r="255" spans="3:6" ht="12.5">
      <c r="C255" s="84"/>
      <c r="D255" s="84"/>
      <c r="E255" s="84"/>
      <c r="F255" s="84"/>
    </row>
    <row r="256" spans="3:6" ht="12.5">
      <c r="C256" s="84"/>
      <c r="D256" s="84"/>
      <c r="E256" s="84"/>
      <c r="F256" s="84"/>
    </row>
    <row r="257" spans="3:6" ht="12.5">
      <c r="C257" s="84"/>
      <c r="D257" s="84"/>
      <c r="E257" s="84"/>
      <c r="F257" s="84"/>
    </row>
    <row r="258" spans="3:6" ht="12.5">
      <c r="C258" s="84"/>
      <c r="D258" s="84"/>
      <c r="E258" s="84"/>
      <c r="F258" s="84"/>
    </row>
    <row r="259" spans="3:6" ht="12.5">
      <c r="C259" s="84"/>
      <c r="D259" s="84"/>
      <c r="E259" s="84"/>
      <c r="F259" s="84"/>
    </row>
    <row r="260" spans="3:6" ht="12.5">
      <c r="C260" s="84"/>
      <c r="D260" s="84"/>
      <c r="E260" s="84"/>
      <c r="F260" s="84"/>
    </row>
    <row r="261" spans="3:6" ht="12.5">
      <c r="C261" s="84"/>
      <c r="D261" s="84"/>
      <c r="E261" s="84"/>
      <c r="F261" s="84"/>
    </row>
    <row r="262" spans="3:6" ht="12.5">
      <c r="C262" s="84"/>
      <c r="D262" s="84"/>
      <c r="E262" s="84"/>
      <c r="F262" s="84"/>
    </row>
    <row r="263" spans="3:6" ht="12.5">
      <c r="C263" s="84"/>
      <c r="D263" s="84"/>
      <c r="E263" s="84"/>
      <c r="F263" s="84"/>
    </row>
    <row r="264" spans="3:6" ht="12.5">
      <c r="C264" s="84"/>
      <c r="D264" s="84"/>
      <c r="E264" s="84"/>
      <c r="F264" s="84"/>
    </row>
    <row r="265" spans="3:6" ht="12.5">
      <c r="C265" s="84"/>
      <c r="D265" s="84"/>
      <c r="E265" s="84"/>
      <c r="F265" s="84"/>
    </row>
    <row r="266" spans="3:6" ht="12.5">
      <c r="C266" s="84"/>
      <c r="D266" s="84"/>
      <c r="E266" s="84"/>
      <c r="F266" s="84"/>
    </row>
    <row r="267" spans="3:6" ht="12.5">
      <c r="C267" s="84"/>
      <c r="D267" s="84"/>
      <c r="E267" s="84"/>
      <c r="F267" s="84"/>
    </row>
    <row r="268" spans="3:6" ht="12.5">
      <c r="C268" s="84"/>
      <c r="D268" s="84"/>
      <c r="E268" s="84"/>
      <c r="F268" s="84"/>
    </row>
    <row r="269" spans="3:6" ht="12.5">
      <c r="C269" s="84"/>
      <c r="D269" s="84"/>
      <c r="E269" s="84"/>
      <c r="F269" s="84"/>
    </row>
    <row r="270" spans="3:6" ht="12.5">
      <c r="C270" s="84"/>
      <c r="D270" s="84"/>
      <c r="E270" s="84"/>
      <c r="F270" s="84"/>
    </row>
    <row r="271" spans="3:6" ht="12.5">
      <c r="C271" s="84"/>
      <c r="D271" s="84"/>
      <c r="E271" s="84"/>
      <c r="F271" s="84"/>
    </row>
    <row r="272" spans="3:6" ht="12.5">
      <c r="C272" s="84"/>
      <c r="D272" s="84"/>
      <c r="E272" s="84"/>
      <c r="F272" s="84"/>
    </row>
    <row r="273" spans="3:6" ht="12.5">
      <c r="C273" s="84"/>
      <c r="D273" s="84"/>
      <c r="E273" s="84"/>
      <c r="F273" s="84"/>
    </row>
    <row r="274" spans="3:6" ht="12.5">
      <c r="C274" s="84"/>
      <c r="D274" s="84"/>
      <c r="E274" s="84"/>
      <c r="F274" s="84"/>
    </row>
    <row r="275" spans="3:6" ht="12.5">
      <c r="C275" s="84"/>
      <c r="D275" s="84"/>
      <c r="E275" s="84"/>
      <c r="F275" s="84"/>
    </row>
    <row r="276" spans="3:6" ht="12.5">
      <c r="C276" s="84"/>
      <c r="D276" s="84"/>
      <c r="E276" s="84"/>
      <c r="F276" s="84"/>
    </row>
    <row r="277" spans="3:6" ht="12.5">
      <c r="C277" s="84"/>
      <c r="D277" s="84"/>
      <c r="E277" s="84"/>
      <c r="F277" s="84"/>
    </row>
    <row r="278" spans="3:6" ht="12.5">
      <c r="C278" s="84"/>
      <c r="D278" s="84"/>
      <c r="E278" s="84"/>
      <c r="F278" s="84"/>
    </row>
    <row r="279" spans="3:6" ht="12.5">
      <c r="C279" s="84"/>
      <c r="D279" s="84"/>
      <c r="E279" s="84"/>
      <c r="F279" s="84"/>
    </row>
    <row r="280" spans="3:6" ht="12.5">
      <c r="C280" s="84"/>
      <c r="D280" s="84"/>
      <c r="E280" s="84"/>
      <c r="F280" s="84"/>
    </row>
    <row r="281" spans="3:6" ht="12.5">
      <c r="C281" s="84"/>
      <c r="D281" s="84"/>
      <c r="E281" s="84"/>
      <c r="F281" s="84"/>
    </row>
    <row r="282" spans="3:6" ht="12.5">
      <c r="C282" s="84"/>
      <c r="D282" s="84"/>
      <c r="E282" s="84"/>
      <c r="F282" s="84"/>
    </row>
    <row r="283" spans="3:6" ht="12.5">
      <c r="C283" s="84"/>
      <c r="D283" s="84"/>
      <c r="E283" s="84"/>
      <c r="F283" s="84"/>
    </row>
    <row r="284" spans="3:6" ht="12.5">
      <c r="C284" s="84"/>
      <c r="D284" s="84"/>
      <c r="E284" s="84"/>
      <c r="F284" s="84"/>
    </row>
    <row r="285" spans="3:6" ht="12.5">
      <c r="C285" s="84"/>
      <c r="D285" s="84"/>
      <c r="E285" s="84"/>
      <c r="F285" s="84"/>
    </row>
    <row r="286" spans="3:6" ht="12.5">
      <c r="C286" s="84"/>
      <c r="D286" s="84"/>
      <c r="E286" s="84"/>
      <c r="F286" s="84"/>
    </row>
    <row r="287" spans="3:6" ht="12.5">
      <c r="C287" s="84"/>
      <c r="D287" s="84"/>
      <c r="E287" s="84"/>
      <c r="F287" s="84"/>
    </row>
    <row r="288" spans="3:6" ht="12.5">
      <c r="C288" s="84"/>
      <c r="D288" s="84"/>
      <c r="E288" s="84"/>
      <c r="F288" s="84"/>
    </row>
    <row r="289" spans="3:6" ht="12.5">
      <c r="C289" s="84"/>
      <c r="D289" s="84"/>
      <c r="E289" s="84"/>
      <c r="F289" s="84"/>
    </row>
    <row r="290" spans="3:6" ht="12.5">
      <c r="C290" s="84"/>
      <c r="D290" s="84"/>
      <c r="E290" s="84"/>
      <c r="F290" s="84"/>
    </row>
    <row r="291" spans="3:6" ht="12.5">
      <c r="C291" s="84"/>
      <c r="D291" s="84"/>
      <c r="E291" s="84"/>
      <c r="F291" s="84"/>
    </row>
    <row r="292" spans="3:6" ht="12.5">
      <c r="C292" s="84"/>
      <c r="D292" s="84"/>
      <c r="E292" s="84"/>
      <c r="F292" s="84"/>
    </row>
    <row r="293" spans="3:6" ht="12.5">
      <c r="C293" s="84"/>
      <c r="D293" s="84"/>
      <c r="E293" s="84"/>
      <c r="F293" s="84"/>
    </row>
    <row r="294" spans="3:6" ht="12.5">
      <c r="C294" s="84"/>
      <c r="D294" s="84"/>
      <c r="E294" s="84"/>
      <c r="F294" s="84"/>
    </row>
    <row r="295" spans="3:6" ht="12.5">
      <c r="C295" s="84"/>
      <c r="D295" s="84"/>
      <c r="E295" s="84"/>
      <c r="F295" s="84"/>
    </row>
    <row r="296" spans="3:6" ht="12.5">
      <c r="C296" s="84"/>
      <c r="D296" s="84"/>
      <c r="E296" s="84"/>
      <c r="F296" s="84"/>
    </row>
    <row r="297" spans="3:6" ht="12.5">
      <c r="C297" s="84"/>
      <c r="D297" s="84"/>
      <c r="E297" s="84"/>
      <c r="F297" s="84"/>
    </row>
    <row r="298" spans="3:6" ht="12.5">
      <c r="C298" s="84"/>
      <c r="D298" s="84"/>
      <c r="E298" s="84"/>
      <c r="F298" s="84"/>
    </row>
    <row r="299" spans="3:6" ht="12.5">
      <c r="C299" s="84"/>
      <c r="D299" s="84"/>
      <c r="E299" s="84"/>
      <c r="F299" s="84"/>
    </row>
    <row r="300" spans="3:6" ht="12.5">
      <c r="C300" s="84"/>
      <c r="D300" s="84"/>
      <c r="E300" s="84"/>
      <c r="F300" s="84"/>
    </row>
    <row r="301" spans="3:6" ht="12.5">
      <c r="C301" s="84"/>
      <c r="D301" s="84"/>
      <c r="E301" s="84"/>
      <c r="F301" s="84"/>
    </row>
    <row r="302" spans="3:6" ht="12.5">
      <c r="C302" s="84"/>
      <c r="D302" s="84"/>
      <c r="E302" s="84"/>
      <c r="F302" s="84"/>
    </row>
    <row r="303" spans="3:6" ht="12.5">
      <c r="C303" s="84"/>
      <c r="D303" s="84"/>
      <c r="E303" s="84"/>
      <c r="F303" s="84"/>
    </row>
    <row r="304" spans="3:6" ht="12.5">
      <c r="C304" s="84"/>
      <c r="D304" s="84"/>
      <c r="E304" s="84"/>
      <c r="F304" s="84"/>
    </row>
    <row r="305" spans="3:6" ht="12.5">
      <c r="C305" s="84"/>
      <c r="D305" s="84"/>
      <c r="E305" s="84"/>
      <c r="F305" s="84"/>
    </row>
    <row r="306" spans="3:6" ht="12.5">
      <c r="C306" s="84"/>
      <c r="D306" s="84"/>
      <c r="E306" s="84"/>
      <c r="F306" s="84"/>
    </row>
    <row r="307" spans="3:6" ht="12.5">
      <c r="C307" s="84"/>
      <c r="D307" s="84"/>
      <c r="E307" s="84"/>
      <c r="F307" s="84"/>
    </row>
    <row r="308" spans="3:6" ht="12.5">
      <c r="C308" s="84"/>
      <c r="D308" s="84"/>
      <c r="E308" s="84"/>
      <c r="F308" s="84"/>
    </row>
    <row r="309" spans="3:6" ht="12.5">
      <c r="C309" s="84"/>
      <c r="D309" s="84"/>
      <c r="E309" s="84"/>
      <c r="F309" s="84"/>
    </row>
    <row r="310" spans="3:6" ht="12.5">
      <c r="C310" s="84"/>
      <c r="D310" s="84"/>
      <c r="E310" s="84"/>
      <c r="F310" s="84"/>
    </row>
    <row r="311" spans="3:6" ht="12.5">
      <c r="C311" s="84"/>
      <c r="D311" s="84"/>
      <c r="E311" s="84"/>
      <c r="F311" s="84"/>
    </row>
    <row r="312" spans="3:6" ht="12.5">
      <c r="C312" s="84"/>
      <c r="D312" s="84"/>
      <c r="E312" s="84"/>
      <c r="F312" s="84"/>
    </row>
    <row r="313" spans="3:6" ht="12.5">
      <c r="C313" s="84"/>
      <c r="D313" s="84"/>
      <c r="E313" s="84"/>
      <c r="F313" s="84"/>
    </row>
    <row r="314" spans="3:6" ht="12.5">
      <c r="C314" s="84"/>
      <c r="D314" s="84"/>
      <c r="E314" s="84"/>
      <c r="F314" s="84"/>
    </row>
    <row r="315" spans="3:6" ht="12.5">
      <c r="C315" s="84"/>
      <c r="D315" s="84"/>
      <c r="E315" s="84"/>
      <c r="F315" s="84"/>
    </row>
    <row r="316" spans="3:6" ht="12.5">
      <c r="C316" s="84"/>
      <c r="D316" s="84"/>
      <c r="E316" s="84"/>
      <c r="F316" s="84"/>
    </row>
    <row r="317" spans="3:6" ht="12.5">
      <c r="C317" s="84"/>
      <c r="D317" s="84"/>
      <c r="E317" s="84"/>
      <c r="F317" s="84"/>
    </row>
    <row r="318" spans="3:6" ht="12.5">
      <c r="C318" s="84"/>
      <c r="D318" s="84"/>
      <c r="E318" s="84"/>
      <c r="F318" s="84"/>
    </row>
    <row r="319" spans="3:6" ht="12.5">
      <c r="C319" s="84"/>
      <c r="D319" s="84"/>
      <c r="E319" s="84"/>
      <c r="F319" s="84"/>
    </row>
    <row r="320" spans="3:6" ht="12.5">
      <c r="C320" s="84"/>
      <c r="D320" s="84"/>
      <c r="E320" s="84"/>
      <c r="F320" s="84"/>
    </row>
    <row r="321" spans="3:6" ht="12.5">
      <c r="C321" s="84"/>
      <c r="D321" s="84"/>
      <c r="E321" s="84"/>
      <c r="F321" s="84"/>
    </row>
    <row r="322" spans="3:6" ht="12.5">
      <c r="C322" s="84"/>
      <c r="D322" s="84"/>
      <c r="E322" s="84"/>
      <c r="F322" s="84"/>
    </row>
    <row r="323" spans="3:6" ht="12.5">
      <c r="C323" s="84"/>
      <c r="D323" s="84"/>
      <c r="E323" s="84"/>
      <c r="F323" s="84"/>
    </row>
    <row r="324" spans="3:6" ht="12.5">
      <c r="C324" s="84"/>
      <c r="D324" s="84"/>
      <c r="E324" s="84"/>
      <c r="F324" s="84"/>
    </row>
    <row r="325" spans="3:6" ht="12.5">
      <c r="C325" s="84"/>
      <c r="D325" s="84"/>
      <c r="E325" s="84"/>
      <c r="F325" s="84"/>
    </row>
    <row r="326" spans="3:6" ht="12.5">
      <c r="C326" s="84"/>
      <c r="D326" s="84"/>
      <c r="E326" s="84"/>
      <c r="F326" s="84"/>
    </row>
    <row r="327" spans="3:6" ht="12.5">
      <c r="C327" s="84"/>
      <c r="D327" s="84"/>
      <c r="E327" s="84"/>
      <c r="F327" s="84"/>
    </row>
    <row r="328" spans="3:6" ht="12.5">
      <c r="C328" s="84"/>
      <c r="D328" s="84"/>
      <c r="E328" s="84"/>
      <c r="F328" s="84"/>
    </row>
    <row r="329" spans="3:6" ht="12.5">
      <c r="C329" s="84"/>
      <c r="D329" s="84"/>
      <c r="E329" s="84"/>
      <c r="F329" s="84"/>
    </row>
    <row r="330" spans="3:6" ht="12.5">
      <c r="C330" s="84"/>
      <c r="D330" s="84"/>
      <c r="E330" s="84"/>
      <c r="F330" s="84"/>
    </row>
    <row r="331" spans="3:6" ht="12.5">
      <c r="C331" s="84"/>
      <c r="D331" s="84"/>
      <c r="E331" s="84"/>
      <c r="F331" s="84"/>
    </row>
    <row r="332" spans="3:6" ht="12.5">
      <c r="C332" s="84"/>
      <c r="D332" s="84"/>
      <c r="E332" s="84"/>
      <c r="F332" s="84"/>
    </row>
    <row r="333" spans="3:6" ht="12.5">
      <c r="C333" s="84"/>
      <c r="D333" s="84"/>
      <c r="E333" s="84"/>
      <c r="F333" s="84"/>
    </row>
    <row r="334" spans="3:6" ht="12.5">
      <c r="C334" s="84"/>
      <c r="D334" s="84"/>
      <c r="E334" s="84"/>
      <c r="F334" s="84"/>
    </row>
    <row r="335" spans="3:6" ht="12.5">
      <c r="C335" s="84"/>
      <c r="D335" s="84"/>
      <c r="E335" s="84"/>
      <c r="F335" s="84"/>
    </row>
    <row r="336" spans="3:6" ht="12.5">
      <c r="C336" s="84"/>
      <c r="D336" s="84"/>
      <c r="E336" s="84"/>
      <c r="F336" s="84"/>
    </row>
    <row r="337" spans="3:6" ht="12.5">
      <c r="C337" s="84"/>
      <c r="D337" s="84"/>
      <c r="E337" s="84"/>
      <c r="F337" s="84"/>
    </row>
    <row r="338" spans="3:6" ht="12.5">
      <c r="C338" s="84"/>
      <c r="D338" s="84"/>
      <c r="E338" s="84"/>
      <c r="F338" s="84"/>
    </row>
    <row r="339" spans="3:6" ht="12.5">
      <c r="C339" s="84"/>
      <c r="D339" s="84"/>
      <c r="E339" s="84"/>
      <c r="F339" s="84"/>
    </row>
    <row r="340" spans="3:6" ht="12.5">
      <c r="C340" s="84"/>
      <c r="D340" s="84"/>
      <c r="E340" s="84"/>
      <c r="F340" s="84"/>
    </row>
    <row r="341" spans="3:6" ht="12.5">
      <c r="C341" s="84"/>
      <c r="D341" s="84"/>
      <c r="E341" s="84"/>
      <c r="F341" s="84"/>
    </row>
    <row r="342" spans="3:6" ht="12.5">
      <c r="C342" s="84"/>
      <c r="D342" s="84"/>
      <c r="E342" s="84"/>
      <c r="F342" s="84"/>
    </row>
    <row r="343" spans="3:6" ht="12.5">
      <c r="C343" s="84"/>
      <c r="D343" s="84"/>
      <c r="E343" s="84"/>
      <c r="F343" s="84"/>
    </row>
    <row r="344" spans="3:6" ht="12.5">
      <c r="C344" s="84"/>
      <c r="D344" s="84"/>
      <c r="E344" s="84"/>
      <c r="F344" s="84"/>
    </row>
    <row r="345" spans="3:6" ht="12.5">
      <c r="C345" s="84"/>
      <c r="D345" s="84"/>
      <c r="E345" s="84"/>
      <c r="F345" s="84"/>
    </row>
    <row r="346" spans="3:6" ht="12.5">
      <c r="C346" s="84"/>
      <c r="D346" s="84"/>
      <c r="E346" s="84"/>
      <c r="F346" s="84"/>
    </row>
    <row r="347" spans="3:6" ht="12.5">
      <c r="C347" s="84"/>
      <c r="D347" s="84"/>
      <c r="E347" s="84"/>
      <c r="F347" s="84"/>
    </row>
    <row r="348" spans="3:6" ht="12.5">
      <c r="C348" s="84"/>
      <c r="D348" s="84"/>
      <c r="E348" s="84"/>
      <c r="F348" s="84"/>
    </row>
    <row r="349" spans="3:6" ht="12.5">
      <c r="C349" s="84"/>
      <c r="D349" s="84"/>
      <c r="E349" s="84"/>
      <c r="F349" s="84"/>
    </row>
    <row r="350" spans="3:6" ht="12.5">
      <c r="C350" s="84"/>
      <c r="D350" s="84"/>
      <c r="E350" s="84"/>
      <c r="F350" s="84"/>
    </row>
    <row r="351" spans="3:6" ht="12.5">
      <c r="C351" s="84"/>
      <c r="D351" s="84"/>
      <c r="E351" s="84"/>
      <c r="F351" s="84"/>
    </row>
    <row r="352" spans="3:6" ht="12.5">
      <c r="C352" s="84"/>
      <c r="D352" s="84"/>
      <c r="E352" s="84"/>
      <c r="F352" s="84"/>
    </row>
    <row r="353" spans="3:6" ht="12.5">
      <c r="C353" s="84"/>
      <c r="D353" s="84"/>
      <c r="E353" s="84"/>
      <c r="F353" s="84"/>
    </row>
    <row r="354" spans="3:6" ht="12.5">
      <c r="C354" s="84"/>
      <c r="D354" s="84"/>
      <c r="E354" s="84"/>
      <c r="F354" s="84"/>
    </row>
    <row r="355" spans="3:6" ht="12.5">
      <c r="C355" s="84"/>
      <c r="D355" s="84"/>
      <c r="E355" s="84"/>
      <c r="F355" s="84"/>
    </row>
    <row r="356" spans="3:6" ht="12.5">
      <c r="C356" s="84"/>
      <c r="D356" s="84"/>
      <c r="E356" s="84"/>
      <c r="F356" s="84"/>
    </row>
    <row r="357" spans="3:6" ht="12.5">
      <c r="C357" s="84"/>
      <c r="D357" s="84"/>
      <c r="E357" s="84"/>
      <c r="F357" s="84"/>
    </row>
    <row r="358" spans="3:6" ht="12.5">
      <c r="C358" s="84"/>
      <c r="D358" s="84"/>
      <c r="E358" s="84"/>
      <c r="F358" s="84"/>
    </row>
    <row r="359" spans="3:6" ht="12.5">
      <c r="C359" s="84"/>
      <c r="D359" s="84"/>
      <c r="E359" s="84"/>
      <c r="F359" s="84"/>
    </row>
    <row r="360" spans="3:6" ht="12.5">
      <c r="C360" s="84"/>
      <c r="D360" s="84"/>
      <c r="E360" s="84"/>
      <c r="F360" s="84"/>
    </row>
    <row r="361" spans="3:6" ht="12.5">
      <c r="C361" s="84"/>
      <c r="D361" s="84"/>
      <c r="E361" s="84"/>
      <c r="F361" s="84"/>
    </row>
    <row r="362" spans="3:6" ht="12.5">
      <c r="C362" s="84"/>
      <c r="D362" s="84"/>
      <c r="E362" s="84"/>
      <c r="F362" s="84"/>
    </row>
    <row r="363" spans="3:6" ht="12.5">
      <c r="C363" s="84"/>
      <c r="D363" s="84"/>
      <c r="E363" s="84"/>
      <c r="F363" s="84"/>
    </row>
    <row r="364" spans="3:6" ht="12.5">
      <c r="C364" s="84"/>
      <c r="D364" s="84"/>
      <c r="E364" s="84"/>
      <c r="F364" s="84"/>
    </row>
    <row r="365" spans="3:6" ht="12.5">
      <c r="C365" s="84"/>
      <c r="D365" s="84"/>
      <c r="E365" s="84"/>
      <c r="F365" s="84"/>
    </row>
    <row r="366" spans="3:6" ht="12.5">
      <c r="C366" s="84"/>
      <c r="D366" s="84"/>
      <c r="E366" s="84"/>
      <c r="F366" s="84"/>
    </row>
    <row r="367" spans="3:6" ht="12.5">
      <c r="C367" s="84"/>
      <c r="D367" s="84"/>
      <c r="E367" s="84"/>
      <c r="F367" s="84"/>
    </row>
    <row r="368" spans="3:6" ht="12.5">
      <c r="C368" s="84"/>
      <c r="D368" s="84"/>
      <c r="E368" s="84"/>
      <c r="F368" s="84"/>
    </row>
    <row r="369" spans="3:6" ht="12.5">
      <c r="C369" s="84"/>
      <c r="D369" s="84"/>
      <c r="E369" s="84"/>
      <c r="F369" s="84"/>
    </row>
    <row r="370" spans="3:6" ht="12.5">
      <c r="C370" s="84"/>
      <c r="D370" s="84"/>
      <c r="E370" s="84"/>
      <c r="F370" s="84"/>
    </row>
    <row r="371" spans="3:6" ht="12.5">
      <c r="C371" s="84"/>
      <c r="D371" s="84"/>
      <c r="E371" s="84"/>
      <c r="F371" s="84"/>
    </row>
    <row r="372" spans="3:6" ht="12.5">
      <c r="C372" s="84"/>
      <c r="D372" s="84"/>
      <c r="E372" s="84"/>
      <c r="F372" s="84"/>
    </row>
    <row r="373" spans="3:6" ht="12.5">
      <c r="C373" s="84"/>
      <c r="D373" s="84"/>
      <c r="E373" s="84"/>
      <c r="F373" s="84"/>
    </row>
    <row r="374" spans="3:6" ht="12.5">
      <c r="C374" s="84"/>
      <c r="D374" s="84"/>
      <c r="E374" s="84"/>
      <c r="F374" s="84"/>
    </row>
    <row r="375" spans="3:6" ht="12.5">
      <c r="C375" s="84"/>
      <c r="D375" s="84"/>
      <c r="E375" s="84"/>
      <c r="F375" s="84"/>
    </row>
    <row r="376" spans="3:6" ht="12.5">
      <c r="C376" s="84"/>
      <c r="D376" s="84"/>
      <c r="E376" s="84"/>
      <c r="F376" s="84"/>
    </row>
    <row r="377" spans="3:6" ht="12.5">
      <c r="C377" s="84"/>
      <c r="D377" s="84"/>
      <c r="E377" s="84"/>
      <c r="F377" s="84"/>
    </row>
    <row r="378" spans="3:6" ht="12.5">
      <c r="C378" s="84"/>
      <c r="D378" s="84"/>
      <c r="E378" s="84"/>
      <c r="F378" s="84"/>
    </row>
    <row r="379" spans="3:6" ht="12.5">
      <c r="C379" s="84"/>
      <c r="D379" s="84"/>
      <c r="E379" s="84"/>
      <c r="F379" s="84"/>
    </row>
    <row r="380" spans="3:6" ht="12.5">
      <c r="C380" s="84"/>
      <c r="D380" s="84"/>
      <c r="E380" s="84"/>
      <c r="F380" s="84"/>
    </row>
    <row r="381" spans="3:6" ht="12.5">
      <c r="C381" s="84"/>
      <c r="D381" s="84"/>
      <c r="E381" s="84"/>
      <c r="F381" s="84"/>
    </row>
    <row r="382" spans="3:6" ht="12.5">
      <c r="C382" s="84"/>
      <c r="D382" s="84"/>
      <c r="E382" s="84"/>
      <c r="F382" s="84"/>
    </row>
    <row r="383" spans="3:6" ht="12.5">
      <c r="C383" s="84"/>
      <c r="D383" s="84"/>
      <c r="E383" s="84"/>
      <c r="F383" s="84"/>
    </row>
    <row r="384" spans="3:6" ht="12.5">
      <c r="C384" s="84"/>
      <c r="D384" s="84"/>
      <c r="E384" s="84"/>
      <c r="F384" s="84"/>
    </row>
    <row r="385" spans="3:6" ht="12.5">
      <c r="C385" s="84"/>
      <c r="D385" s="84"/>
      <c r="E385" s="84"/>
      <c r="F385" s="84"/>
    </row>
    <row r="386" spans="3:6" ht="12.5">
      <c r="C386" s="84"/>
      <c r="D386" s="84"/>
      <c r="E386" s="84"/>
      <c r="F386" s="84"/>
    </row>
    <row r="387" spans="3:6" ht="12.5">
      <c r="C387" s="84"/>
      <c r="D387" s="84"/>
      <c r="E387" s="84"/>
      <c r="F387" s="84"/>
    </row>
    <row r="388" spans="3:6" ht="12.5">
      <c r="C388" s="84"/>
      <c r="D388" s="84"/>
      <c r="E388" s="84"/>
      <c r="F388" s="84"/>
    </row>
    <row r="389" spans="3:6" ht="12.5">
      <c r="C389" s="84"/>
      <c r="D389" s="84"/>
      <c r="E389" s="84"/>
      <c r="F389" s="84"/>
    </row>
    <row r="390" spans="3:6" ht="12.5">
      <c r="C390" s="84"/>
      <c r="D390" s="84"/>
      <c r="E390" s="84"/>
      <c r="F390" s="84"/>
    </row>
    <row r="391" spans="3:6" ht="12.5">
      <c r="C391" s="84"/>
      <c r="D391" s="84"/>
      <c r="E391" s="84"/>
      <c r="F391" s="84"/>
    </row>
    <row r="392" spans="3:6" ht="12.5">
      <c r="C392" s="84"/>
      <c r="D392" s="84"/>
      <c r="E392" s="84"/>
      <c r="F392" s="84"/>
    </row>
    <row r="393" spans="3:6" ht="12.5">
      <c r="C393" s="84"/>
      <c r="D393" s="84"/>
      <c r="E393" s="84"/>
      <c r="F393" s="84"/>
    </row>
    <row r="394" spans="3:6" ht="12.5">
      <c r="C394" s="84"/>
      <c r="D394" s="84"/>
      <c r="E394" s="84"/>
      <c r="F394" s="84"/>
    </row>
    <row r="395" spans="3:6" ht="12.5">
      <c r="C395" s="84"/>
      <c r="D395" s="84"/>
      <c r="E395" s="84"/>
      <c r="F395" s="84"/>
    </row>
    <row r="396" spans="3:6" ht="12.5">
      <c r="C396" s="84"/>
      <c r="D396" s="84"/>
      <c r="E396" s="84"/>
      <c r="F396" s="84"/>
    </row>
    <row r="397" spans="3:6" ht="12.5">
      <c r="C397" s="84"/>
      <c r="D397" s="84"/>
      <c r="E397" s="84"/>
      <c r="F397" s="84"/>
    </row>
    <row r="398" spans="3:6" ht="12.5">
      <c r="C398" s="84"/>
      <c r="D398" s="84"/>
      <c r="E398" s="84"/>
      <c r="F398" s="84"/>
    </row>
    <row r="399" spans="3:6" ht="12.5">
      <c r="C399" s="84"/>
      <c r="D399" s="84"/>
      <c r="E399" s="84"/>
      <c r="F399" s="84"/>
    </row>
    <row r="400" spans="3:6" ht="12.5">
      <c r="C400" s="84"/>
      <c r="D400" s="84"/>
      <c r="E400" s="84"/>
      <c r="F400" s="84"/>
    </row>
    <row r="401" spans="3:6" ht="12.5">
      <c r="C401" s="84"/>
      <c r="D401" s="84"/>
      <c r="E401" s="84"/>
      <c r="F401" s="84"/>
    </row>
    <row r="402" spans="3:6" ht="12.5">
      <c r="C402" s="84"/>
      <c r="D402" s="84"/>
      <c r="E402" s="84"/>
      <c r="F402" s="84"/>
    </row>
    <row r="403" spans="3:6" ht="12.5">
      <c r="C403" s="84"/>
      <c r="D403" s="84"/>
      <c r="E403" s="84"/>
      <c r="F403" s="84"/>
    </row>
    <row r="404" spans="3:6" ht="12.5">
      <c r="C404" s="84"/>
      <c r="D404" s="84"/>
      <c r="E404" s="84"/>
      <c r="F404" s="84"/>
    </row>
    <row r="405" spans="3:6" ht="12.5">
      <c r="C405" s="84"/>
      <c r="D405" s="84"/>
      <c r="E405" s="84"/>
      <c r="F405" s="84"/>
    </row>
    <row r="406" spans="3:6" ht="12.5">
      <c r="C406" s="84"/>
      <c r="D406" s="84"/>
      <c r="E406" s="84"/>
      <c r="F406" s="84"/>
    </row>
    <row r="407" spans="3:6" ht="12.5">
      <c r="C407" s="84"/>
      <c r="D407" s="84"/>
      <c r="E407" s="84"/>
      <c r="F407" s="84"/>
    </row>
    <row r="408" spans="3:6" ht="12.5">
      <c r="C408" s="84"/>
      <c r="D408" s="84"/>
      <c r="E408" s="84"/>
      <c r="F408" s="84"/>
    </row>
    <row r="409" spans="3:6" ht="12.5">
      <c r="C409" s="84"/>
      <c r="D409" s="84"/>
      <c r="E409" s="84"/>
      <c r="F409" s="84"/>
    </row>
    <row r="410" spans="3:6" ht="12.5">
      <c r="C410" s="84"/>
      <c r="D410" s="84"/>
      <c r="E410" s="84"/>
      <c r="F410" s="84"/>
    </row>
    <row r="411" spans="3:6" ht="12.5">
      <c r="C411" s="84"/>
      <c r="D411" s="84"/>
      <c r="E411" s="84"/>
      <c r="F411" s="84"/>
    </row>
    <row r="412" spans="3:6" ht="12.5">
      <c r="C412" s="84"/>
      <c r="D412" s="84"/>
      <c r="E412" s="84"/>
      <c r="F412" s="84"/>
    </row>
    <row r="413" spans="3:6" ht="12.5">
      <c r="C413" s="84"/>
      <c r="D413" s="84"/>
      <c r="E413" s="84"/>
      <c r="F413" s="84"/>
    </row>
    <row r="414" spans="3:6" ht="12.5">
      <c r="C414" s="84"/>
      <c r="D414" s="84"/>
      <c r="E414" s="84"/>
      <c r="F414" s="84"/>
    </row>
    <row r="415" spans="3:6" ht="12.5">
      <c r="C415" s="84"/>
      <c r="D415" s="84"/>
      <c r="E415" s="84"/>
      <c r="F415" s="84"/>
    </row>
    <row r="416" spans="3:6" ht="12.5">
      <c r="C416" s="84"/>
      <c r="D416" s="84"/>
      <c r="E416" s="84"/>
      <c r="F416" s="84"/>
    </row>
    <row r="417" spans="3:6" ht="12.5">
      <c r="C417" s="84"/>
      <c r="D417" s="84"/>
      <c r="E417" s="84"/>
      <c r="F417" s="84"/>
    </row>
    <row r="418" spans="3:6" ht="12.5">
      <c r="C418" s="84"/>
      <c r="D418" s="84"/>
      <c r="E418" s="84"/>
      <c r="F418" s="84"/>
    </row>
    <row r="419" spans="3:6" ht="12.5">
      <c r="C419" s="84"/>
      <c r="D419" s="84"/>
      <c r="E419" s="84"/>
      <c r="F419" s="84"/>
    </row>
    <row r="420" spans="3:6" ht="12.5">
      <c r="C420" s="84"/>
      <c r="D420" s="84"/>
      <c r="E420" s="84"/>
      <c r="F420" s="84"/>
    </row>
    <row r="421" spans="3:6" ht="12.5">
      <c r="C421" s="84"/>
      <c r="D421" s="84"/>
      <c r="E421" s="84"/>
      <c r="F421" s="84"/>
    </row>
    <row r="422" spans="3:6" ht="12.5">
      <c r="C422" s="84"/>
      <c r="D422" s="84"/>
      <c r="E422" s="84"/>
      <c r="F422" s="84"/>
    </row>
    <row r="423" spans="3:6" ht="12.5">
      <c r="C423" s="84"/>
      <c r="D423" s="84"/>
      <c r="E423" s="84"/>
      <c r="F423" s="84"/>
    </row>
    <row r="424" spans="3:6" ht="12.5">
      <c r="C424" s="84"/>
      <c r="D424" s="84"/>
      <c r="E424" s="84"/>
      <c r="F424" s="84"/>
    </row>
    <row r="425" spans="3:6" ht="12.5">
      <c r="C425" s="84"/>
      <c r="D425" s="84"/>
      <c r="E425" s="84"/>
      <c r="F425" s="84"/>
    </row>
    <row r="426" spans="3:6" ht="12.5">
      <c r="C426" s="84"/>
      <c r="D426" s="84"/>
      <c r="E426" s="84"/>
      <c r="F426" s="84"/>
    </row>
    <row r="427" spans="3:6" ht="12.5">
      <c r="C427" s="84"/>
      <c r="D427" s="84"/>
      <c r="E427" s="84"/>
      <c r="F427" s="84"/>
    </row>
    <row r="428" spans="3:6" ht="12.5">
      <c r="C428" s="84"/>
      <c r="D428" s="84"/>
      <c r="E428" s="84"/>
      <c r="F428" s="84"/>
    </row>
    <row r="429" spans="3:6" ht="12.5">
      <c r="C429" s="84"/>
      <c r="D429" s="84"/>
      <c r="E429" s="84"/>
      <c r="F429" s="84"/>
    </row>
    <row r="430" spans="3:6" ht="12.5">
      <c r="C430" s="84"/>
      <c r="D430" s="84"/>
      <c r="E430" s="84"/>
      <c r="F430" s="84"/>
    </row>
    <row r="431" spans="3:6" ht="12.5">
      <c r="C431" s="84"/>
      <c r="D431" s="84"/>
      <c r="E431" s="84"/>
      <c r="F431" s="84"/>
    </row>
    <row r="432" spans="3:6" ht="12.5">
      <c r="C432" s="84"/>
      <c r="D432" s="84"/>
      <c r="E432" s="84"/>
      <c r="F432" s="84"/>
    </row>
    <row r="433" spans="3:6" ht="12.5">
      <c r="C433" s="84"/>
      <c r="D433" s="84"/>
      <c r="E433" s="84"/>
      <c r="F433" s="84"/>
    </row>
    <row r="434" spans="3:6" ht="12.5">
      <c r="C434" s="84"/>
      <c r="D434" s="84"/>
      <c r="E434" s="84"/>
      <c r="F434" s="84"/>
    </row>
    <row r="435" spans="3:6" ht="12.5">
      <c r="C435" s="84"/>
      <c r="D435" s="84"/>
      <c r="E435" s="84"/>
      <c r="F435" s="84"/>
    </row>
    <row r="436" spans="3:6" ht="12.5">
      <c r="C436" s="84"/>
      <c r="D436" s="84"/>
      <c r="E436" s="84"/>
      <c r="F436" s="84"/>
    </row>
    <row r="437" spans="3:6" ht="12.5">
      <c r="C437" s="84"/>
      <c r="D437" s="84"/>
      <c r="E437" s="84"/>
      <c r="F437" s="84"/>
    </row>
    <row r="438" spans="3:6" ht="12.5">
      <c r="C438" s="84"/>
      <c r="D438" s="84"/>
      <c r="E438" s="84"/>
      <c r="F438" s="84"/>
    </row>
    <row r="439" spans="3:6" ht="12.5">
      <c r="C439" s="84"/>
      <c r="D439" s="84"/>
      <c r="E439" s="84"/>
      <c r="F439" s="84"/>
    </row>
    <row r="440" spans="3:6" ht="12.5">
      <c r="C440" s="84"/>
      <c r="D440" s="84"/>
      <c r="E440" s="84"/>
      <c r="F440" s="84"/>
    </row>
    <row r="441" spans="3:6" ht="12.5">
      <c r="C441" s="84"/>
      <c r="D441" s="84"/>
      <c r="E441" s="84"/>
      <c r="F441" s="84"/>
    </row>
    <row r="442" spans="3:6" ht="12.5">
      <c r="C442" s="84"/>
      <c r="D442" s="84"/>
      <c r="E442" s="84"/>
      <c r="F442" s="84"/>
    </row>
    <row r="443" spans="3:6" ht="12.5">
      <c r="C443" s="84"/>
      <c r="D443" s="84"/>
      <c r="E443" s="84"/>
      <c r="F443" s="84"/>
    </row>
    <row r="444" spans="3:6" ht="12.5">
      <c r="C444" s="84"/>
      <c r="D444" s="84"/>
      <c r="E444" s="84"/>
      <c r="F444" s="84"/>
    </row>
    <row r="445" spans="3:6" ht="12.5">
      <c r="C445" s="84"/>
      <c r="D445" s="84"/>
      <c r="E445" s="84"/>
      <c r="F445" s="84"/>
    </row>
    <row r="446" spans="3:6" ht="12.5">
      <c r="C446" s="84"/>
      <c r="D446" s="84"/>
      <c r="E446" s="84"/>
      <c r="F446" s="84"/>
    </row>
    <row r="447" spans="3:6" ht="12.5">
      <c r="C447" s="84"/>
      <c r="D447" s="84"/>
      <c r="E447" s="84"/>
      <c r="F447" s="84"/>
    </row>
    <row r="448" spans="3:6" ht="12.5">
      <c r="C448" s="84"/>
      <c r="D448" s="84"/>
      <c r="E448" s="84"/>
      <c r="F448" s="84"/>
    </row>
    <row r="449" spans="3:6" ht="12.5">
      <c r="C449" s="84"/>
      <c r="D449" s="84"/>
      <c r="E449" s="84"/>
      <c r="F449" s="84"/>
    </row>
    <row r="450" spans="3:6" ht="12.5">
      <c r="C450" s="84"/>
      <c r="D450" s="84"/>
      <c r="E450" s="84"/>
      <c r="F450" s="84"/>
    </row>
    <row r="451" spans="3:6" ht="12.5">
      <c r="C451" s="84"/>
      <c r="D451" s="84"/>
      <c r="E451" s="84"/>
      <c r="F451" s="84"/>
    </row>
    <row r="452" spans="3:6" ht="12.5">
      <c r="C452" s="84"/>
      <c r="D452" s="84"/>
      <c r="E452" s="84"/>
      <c r="F452" s="84"/>
    </row>
    <row r="453" spans="3:6" ht="12.5">
      <c r="C453" s="84"/>
      <c r="D453" s="84"/>
      <c r="E453" s="84"/>
      <c r="F453" s="84"/>
    </row>
    <row r="454" spans="3:6" ht="12.5">
      <c r="C454" s="84"/>
      <c r="D454" s="84"/>
      <c r="E454" s="84"/>
      <c r="F454" s="84"/>
    </row>
    <row r="455" spans="3:6" ht="12.5">
      <c r="C455" s="84"/>
      <c r="D455" s="84"/>
      <c r="E455" s="84"/>
      <c r="F455" s="84"/>
    </row>
    <row r="456" spans="3:6" ht="12.5">
      <c r="C456" s="84"/>
      <c r="D456" s="84"/>
      <c r="E456" s="84"/>
      <c r="F456" s="84"/>
    </row>
    <row r="457" spans="3:6" ht="12.5">
      <c r="C457" s="84"/>
      <c r="D457" s="84"/>
      <c r="E457" s="84"/>
      <c r="F457" s="84"/>
    </row>
    <row r="458" spans="3:6" ht="12.5">
      <c r="C458" s="84"/>
      <c r="D458" s="84"/>
      <c r="E458" s="84"/>
      <c r="F458" s="84"/>
    </row>
    <row r="459" spans="3:6" ht="12.5">
      <c r="C459" s="84"/>
      <c r="D459" s="84"/>
      <c r="E459" s="84"/>
      <c r="F459" s="84"/>
    </row>
    <row r="460" spans="3:6" ht="12.5">
      <c r="C460" s="84"/>
      <c r="D460" s="84"/>
      <c r="E460" s="84"/>
      <c r="F460" s="84"/>
    </row>
    <row r="461" spans="3:6" ht="12.5">
      <c r="C461" s="84"/>
      <c r="D461" s="84"/>
      <c r="E461" s="84"/>
      <c r="F461" s="84"/>
    </row>
    <row r="462" spans="3:6" ht="12.5">
      <c r="C462" s="84"/>
      <c r="D462" s="84"/>
      <c r="E462" s="84"/>
      <c r="F462" s="84"/>
    </row>
    <row r="463" spans="3:6" ht="12.5">
      <c r="C463" s="84"/>
      <c r="D463" s="84"/>
      <c r="E463" s="84"/>
      <c r="F463" s="84"/>
    </row>
    <row r="464" spans="3:6" ht="12.5">
      <c r="C464" s="84"/>
      <c r="D464" s="84"/>
      <c r="E464" s="84"/>
      <c r="F464" s="84"/>
    </row>
    <row r="465" spans="3:6" ht="12.5">
      <c r="C465" s="84"/>
      <c r="D465" s="84"/>
      <c r="E465" s="84"/>
      <c r="F465" s="84"/>
    </row>
    <row r="466" spans="3:6" ht="12.5">
      <c r="C466" s="84"/>
      <c r="D466" s="84"/>
      <c r="E466" s="84"/>
      <c r="F466" s="84"/>
    </row>
    <row r="467" spans="3:6" ht="12.5">
      <c r="C467" s="84"/>
      <c r="D467" s="84"/>
      <c r="E467" s="84"/>
      <c r="F467" s="84"/>
    </row>
    <row r="468" spans="3:6" ht="12.5">
      <c r="C468" s="84"/>
      <c r="D468" s="84"/>
      <c r="E468" s="84"/>
      <c r="F468" s="84"/>
    </row>
    <row r="469" spans="3:6" ht="12.5">
      <c r="C469" s="84"/>
      <c r="D469" s="84"/>
      <c r="E469" s="84"/>
      <c r="F469" s="84"/>
    </row>
    <row r="470" spans="3:6" ht="12.5">
      <c r="C470" s="84"/>
      <c r="D470" s="84"/>
      <c r="E470" s="84"/>
      <c r="F470" s="84"/>
    </row>
    <row r="471" spans="3:6" ht="12.5">
      <c r="C471" s="84"/>
      <c r="D471" s="84"/>
      <c r="E471" s="84"/>
      <c r="F471" s="84"/>
    </row>
    <row r="472" spans="3:6" ht="12.5">
      <c r="C472" s="84"/>
      <c r="D472" s="84"/>
      <c r="E472" s="84"/>
      <c r="F472" s="84"/>
    </row>
    <row r="473" spans="3:6" ht="12.5">
      <c r="C473" s="84"/>
      <c r="D473" s="84"/>
      <c r="E473" s="84"/>
      <c r="F473" s="84"/>
    </row>
    <row r="474" spans="3:6" ht="12.5">
      <c r="C474" s="84"/>
      <c r="D474" s="84"/>
      <c r="E474" s="84"/>
      <c r="F474" s="84"/>
    </row>
    <row r="475" spans="3:6" ht="12.5">
      <c r="C475" s="84"/>
      <c r="D475" s="84"/>
      <c r="E475" s="84"/>
      <c r="F475" s="84"/>
    </row>
    <row r="476" spans="3:6" ht="12.5">
      <c r="C476" s="84"/>
      <c r="D476" s="84"/>
      <c r="E476" s="84"/>
      <c r="F476" s="84"/>
    </row>
    <row r="477" spans="3:6" ht="12.5">
      <c r="C477" s="84"/>
      <c r="D477" s="84"/>
      <c r="E477" s="84"/>
      <c r="F477" s="84"/>
    </row>
    <row r="478" spans="3:6" ht="12.5">
      <c r="C478" s="84"/>
      <c r="D478" s="84"/>
      <c r="E478" s="84"/>
      <c r="F478" s="84"/>
    </row>
    <row r="479" spans="3:6" ht="12.5">
      <c r="C479" s="84"/>
      <c r="D479" s="84"/>
      <c r="E479" s="84"/>
      <c r="F479" s="84"/>
    </row>
    <row r="480" spans="3:6" ht="12.5">
      <c r="C480" s="84"/>
      <c r="D480" s="84"/>
      <c r="E480" s="84"/>
      <c r="F480" s="84"/>
    </row>
    <row r="481" spans="3:6" ht="12.5">
      <c r="C481" s="84"/>
      <c r="D481" s="84"/>
      <c r="E481" s="84"/>
      <c r="F481" s="84"/>
    </row>
    <row r="482" spans="3:6" ht="12.5">
      <c r="C482" s="84"/>
      <c r="D482" s="84"/>
      <c r="E482" s="84"/>
      <c r="F482" s="84"/>
    </row>
    <row r="483" spans="3:6" ht="12.5">
      <c r="C483" s="84"/>
      <c r="D483" s="84"/>
      <c r="E483" s="84"/>
      <c r="F483" s="84"/>
    </row>
    <row r="484" spans="3:6" ht="12.5">
      <c r="C484" s="84"/>
      <c r="D484" s="84"/>
      <c r="E484" s="84"/>
      <c r="F484" s="84"/>
    </row>
    <row r="485" spans="3:6" ht="12.5">
      <c r="C485" s="84"/>
      <c r="D485" s="84"/>
      <c r="E485" s="84"/>
      <c r="F485" s="84"/>
    </row>
    <row r="486" spans="3:6" ht="12.5">
      <c r="C486" s="84"/>
      <c r="D486" s="84"/>
      <c r="E486" s="84"/>
      <c r="F486" s="84"/>
    </row>
    <row r="487" spans="3:6" ht="12.5">
      <c r="C487" s="84"/>
      <c r="D487" s="84"/>
      <c r="E487" s="84"/>
      <c r="F487" s="84"/>
    </row>
    <row r="488" spans="3:6" ht="12.5">
      <c r="C488" s="84"/>
      <c r="D488" s="84"/>
      <c r="E488" s="84"/>
      <c r="F488" s="84"/>
    </row>
    <row r="489" spans="3:6" ht="12.5">
      <c r="C489" s="84"/>
      <c r="D489" s="84"/>
      <c r="E489" s="84"/>
      <c r="F489" s="84"/>
    </row>
    <row r="490" spans="3:6" ht="12.5">
      <c r="C490" s="84"/>
      <c r="D490" s="84"/>
      <c r="E490" s="84"/>
      <c r="F490" s="84"/>
    </row>
    <row r="491" spans="3:6" ht="12.5">
      <c r="C491" s="84"/>
      <c r="D491" s="84"/>
      <c r="E491" s="84"/>
      <c r="F491" s="84"/>
    </row>
    <row r="492" spans="3:6" ht="12.5">
      <c r="C492" s="84"/>
      <c r="D492" s="84"/>
      <c r="E492" s="84"/>
      <c r="F492" s="84"/>
    </row>
    <row r="493" spans="3:6" ht="12.5">
      <c r="C493" s="84"/>
      <c r="D493" s="84"/>
      <c r="E493" s="84"/>
      <c r="F493" s="84"/>
    </row>
    <row r="494" spans="3:6" ht="12.5">
      <c r="C494" s="84"/>
      <c r="D494" s="84"/>
      <c r="E494" s="84"/>
      <c r="F494" s="84"/>
    </row>
    <row r="495" spans="3:6" ht="12.5">
      <c r="C495" s="84"/>
      <c r="D495" s="84"/>
      <c r="E495" s="84"/>
      <c r="F495" s="84"/>
    </row>
    <row r="496" spans="3:6" ht="12.5">
      <c r="C496" s="84"/>
      <c r="D496" s="84"/>
      <c r="E496" s="84"/>
      <c r="F496" s="84"/>
    </row>
    <row r="497" spans="3:6" ht="12.5">
      <c r="C497" s="84"/>
      <c r="D497" s="84"/>
      <c r="E497" s="84"/>
      <c r="F497" s="84"/>
    </row>
    <row r="498" spans="3:6" ht="12.5">
      <c r="C498" s="84"/>
      <c r="D498" s="84"/>
      <c r="E498" s="84"/>
      <c r="F498" s="84"/>
    </row>
    <row r="499" spans="3:6" ht="12.5">
      <c r="C499" s="84"/>
      <c r="D499" s="84"/>
      <c r="E499" s="84"/>
      <c r="F499" s="84"/>
    </row>
    <row r="500" spans="3:6" ht="12.5">
      <c r="C500" s="84"/>
      <c r="D500" s="84"/>
      <c r="E500" s="84"/>
      <c r="F500" s="84"/>
    </row>
    <row r="501" spans="3:6" ht="12.5">
      <c r="C501" s="84"/>
      <c r="D501" s="84"/>
      <c r="E501" s="84"/>
      <c r="F501" s="84"/>
    </row>
    <row r="502" spans="3:6" ht="12.5">
      <c r="C502" s="84"/>
      <c r="D502" s="84"/>
      <c r="E502" s="84"/>
      <c r="F502" s="84"/>
    </row>
    <row r="503" spans="3:6" ht="12.5">
      <c r="C503" s="84"/>
      <c r="D503" s="84"/>
      <c r="E503" s="84"/>
      <c r="F503" s="84"/>
    </row>
    <row r="504" spans="3:6" ht="12.5">
      <c r="C504" s="84"/>
      <c r="D504" s="84"/>
      <c r="E504" s="84"/>
      <c r="F504" s="84"/>
    </row>
    <row r="505" spans="3:6" ht="12.5">
      <c r="C505" s="84"/>
      <c r="D505" s="84"/>
      <c r="E505" s="84"/>
      <c r="F505" s="84"/>
    </row>
    <row r="506" spans="3:6" ht="12.5">
      <c r="C506" s="84"/>
      <c r="D506" s="84"/>
      <c r="E506" s="84"/>
      <c r="F506" s="84"/>
    </row>
    <row r="507" spans="3:6" ht="12.5">
      <c r="C507" s="84"/>
      <c r="D507" s="84"/>
      <c r="E507" s="84"/>
      <c r="F507" s="84"/>
    </row>
    <row r="508" spans="3:6" ht="12.5">
      <c r="C508" s="84"/>
      <c r="D508" s="84"/>
      <c r="E508" s="84"/>
      <c r="F508" s="84"/>
    </row>
    <row r="509" spans="3:6" ht="12.5">
      <c r="C509" s="84"/>
      <c r="D509" s="84"/>
      <c r="E509" s="84"/>
      <c r="F509" s="84"/>
    </row>
    <row r="510" spans="3:6" ht="12.5">
      <c r="C510" s="84"/>
      <c r="D510" s="84"/>
      <c r="E510" s="84"/>
      <c r="F510" s="84"/>
    </row>
    <row r="511" spans="3:6" ht="12.5">
      <c r="C511" s="84"/>
      <c r="D511" s="84"/>
      <c r="E511" s="84"/>
      <c r="F511" s="84"/>
    </row>
    <row r="512" spans="3:6" ht="12.5">
      <c r="C512" s="84"/>
      <c r="D512" s="84"/>
      <c r="E512" s="84"/>
      <c r="F512" s="84"/>
    </row>
    <row r="513" spans="3:6" ht="12.5">
      <c r="C513" s="84"/>
      <c r="D513" s="84"/>
      <c r="E513" s="84"/>
      <c r="F513" s="84"/>
    </row>
    <row r="514" spans="3:6" ht="12.5">
      <c r="C514" s="84"/>
      <c r="D514" s="84"/>
      <c r="E514" s="84"/>
      <c r="F514" s="84"/>
    </row>
    <row r="515" spans="3:6" ht="12.5">
      <c r="C515" s="84"/>
      <c r="D515" s="84"/>
      <c r="E515" s="84"/>
      <c r="F515" s="84"/>
    </row>
    <row r="516" spans="3:6" ht="12.5">
      <c r="C516" s="84"/>
      <c r="D516" s="84"/>
      <c r="E516" s="84"/>
      <c r="F516" s="84"/>
    </row>
    <row r="517" spans="3:6" ht="12.5">
      <c r="C517" s="84"/>
      <c r="D517" s="84"/>
      <c r="E517" s="84"/>
      <c r="F517" s="84"/>
    </row>
    <row r="518" spans="3:6" ht="12.5">
      <c r="C518" s="84"/>
      <c r="D518" s="84"/>
      <c r="E518" s="84"/>
      <c r="F518" s="84"/>
    </row>
    <row r="519" spans="3:6" ht="12.5">
      <c r="C519" s="84"/>
      <c r="D519" s="84"/>
      <c r="E519" s="84"/>
      <c r="F519" s="84"/>
    </row>
    <row r="520" spans="3:6" ht="12.5">
      <c r="C520" s="84"/>
      <c r="D520" s="84"/>
      <c r="E520" s="84"/>
      <c r="F520" s="84"/>
    </row>
    <row r="521" spans="3:6" ht="12.5">
      <c r="C521" s="84"/>
      <c r="D521" s="84"/>
      <c r="E521" s="84"/>
      <c r="F521" s="84"/>
    </row>
    <row r="522" spans="3:6" ht="12.5">
      <c r="C522" s="84"/>
      <c r="D522" s="84"/>
      <c r="E522" s="84"/>
      <c r="F522" s="84"/>
    </row>
    <row r="523" spans="3:6" ht="12.5">
      <c r="C523" s="84"/>
      <c r="D523" s="84"/>
      <c r="E523" s="84"/>
      <c r="F523" s="84"/>
    </row>
    <row r="524" spans="3:6" ht="12.5">
      <c r="C524" s="84"/>
      <c r="D524" s="84"/>
      <c r="E524" s="84"/>
      <c r="F524" s="84"/>
    </row>
    <row r="525" spans="3:6" ht="12.5">
      <c r="C525" s="84"/>
      <c r="D525" s="84"/>
      <c r="E525" s="84"/>
      <c r="F525" s="84"/>
    </row>
    <row r="526" spans="3:6" ht="12.5">
      <c r="C526" s="84"/>
      <c r="D526" s="84"/>
      <c r="E526" s="84"/>
      <c r="F526" s="84"/>
    </row>
    <row r="527" spans="3:6" ht="12.5">
      <c r="C527" s="84"/>
      <c r="D527" s="84"/>
      <c r="E527" s="84"/>
      <c r="F527" s="84"/>
    </row>
    <row r="528" spans="3:6" ht="12.5">
      <c r="C528" s="84"/>
      <c r="D528" s="84"/>
      <c r="E528" s="84"/>
      <c r="F528" s="84"/>
    </row>
    <row r="529" spans="3:6" ht="12.5">
      <c r="C529" s="84"/>
      <c r="D529" s="84"/>
      <c r="E529" s="84"/>
      <c r="F529" s="84"/>
    </row>
    <row r="530" spans="3:6" ht="12.5">
      <c r="C530" s="84"/>
      <c r="D530" s="84"/>
      <c r="E530" s="84"/>
      <c r="F530" s="84"/>
    </row>
    <row r="531" spans="3:6" ht="12.5">
      <c r="C531" s="84"/>
      <c r="D531" s="84"/>
      <c r="E531" s="84"/>
      <c r="F531" s="84"/>
    </row>
    <row r="532" spans="3:6" ht="12.5">
      <c r="C532" s="84"/>
      <c r="D532" s="84"/>
      <c r="E532" s="84"/>
      <c r="F532" s="84"/>
    </row>
    <row r="533" spans="3:6" ht="12.5">
      <c r="C533" s="84"/>
      <c r="D533" s="84"/>
      <c r="E533" s="84"/>
      <c r="F533" s="84"/>
    </row>
    <row r="534" spans="3:6" ht="12.5">
      <c r="C534" s="84"/>
      <c r="D534" s="84"/>
      <c r="E534" s="84"/>
      <c r="F534" s="84"/>
    </row>
    <row r="535" spans="3:6" ht="12.5">
      <c r="C535" s="84"/>
      <c r="D535" s="84"/>
      <c r="E535" s="84"/>
      <c r="F535" s="84"/>
    </row>
    <row r="536" spans="3:6" ht="12.5">
      <c r="C536" s="84"/>
      <c r="D536" s="84"/>
      <c r="E536" s="84"/>
      <c r="F536" s="84"/>
    </row>
    <row r="537" spans="3:6" ht="12.5">
      <c r="C537" s="84"/>
      <c r="D537" s="84"/>
      <c r="E537" s="84"/>
      <c r="F537" s="84"/>
    </row>
    <row r="538" spans="3:6" ht="12.5">
      <c r="C538" s="84"/>
      <c r="D538" s="84"/>
      <c r="E538" s="84"/>
      <c r="F538" s="84"/>
    </row>
    <row r="539" spans="3:6" ht="12.5">
      <c r="C539" s="84"/>
      <c r="D539" s="84"/>
      <c r="E539" s="84"/>
      <c r="F539" s="84"/>
    </row>
    <row r="540" spans="3:6" ht="12.5">
      <c r="C540" s="84"/>
      <c r="D540" s="84"/>
      <c r="E540" s="84"/>
      <c r="F540" s="84"/>
    </row>
    <row r="541" spans="3:6" ht="12.5">
      <c r="C541" s="84"/>
      <c r="D541" s="84"/>
      <c r="E541" s="84"/>
      <c r="F541" s="84"/>
    </row>
    <row r="542" spans="3:6" ht="12.5">
      <c r="C542" s="84"/>
      <c r="D542" s="84"/>
      <c r="E542" s="84"/>
      <c r="F542" s="84"/>
    </row>
    <row r="543" spans="3:6" ht="12.5">
      <c r="C543" s="84"/>
      <c r="D543" s="84"/>
      <c r="E543" s="84"/>
      <c r="F543" s="84"/>
    </row>
    <row r="544" spans="3:6" ht="12.5">
      <c r="C544" s="84"/>
      <c r="D544" s="84"/>
      <c r="E544" s="84"/>
      <c r="F544" s="84"/>
    </row>
    <row r="545" spans="3:6" ht="12.5">
      <c r="C545" s="84"/>
      <c r="D545" s="84"/>
      <c r="E545" s="84"/>
      <c r="F545" s="84"/>
    </row>
    <row r="546" spans="3:6" ht="12.5">
      <c r="C546" s="84"/>
      <c r="D546" s="84"/>
      <c r="E546" s="84"/>
      <c r="F546" s="84"/>
    </row>
    <row r="547" spans="3:6" ht="12.5">
      <c r="C547" s="84"/>
      <c r="D547" s="84"/>
      <c r="E547" s="84"/>
      <c r="F547" s="84"/>
    </row>
    <row r="548" spans="3:6" ht="12.5">
      <c r="C548" s="84"/>
      <c r="D548" s="84"/>
      <c r="E548" s="84"/>
      <c r="F548" s="84"/>
    </row>
    <row r="549" spans="3:6" ht="12.5">
      <c r="C549" s="84"/>
      <c r="D549" s="84"/>
      <c r="E549" s="84"/>
      <c r="F549" s="84"/>
    </row>
    <row r="550" spans="3:6" ht="12.5">
      <c r="C550" s="84"/>
      <c r="D550" s="84"/>
      <c r="E550" s="84"/>
      <c r="F550" s="84"/>
    </row>
    <row r="551" spans="3:6" ht="12.5">
      <c r="C551" s="84"/>
      <c r="D551" s="84"/>
      <c r="E551" s="84"/>
      <c r="F551" s="84"/>
    </row>
    <row r="552" spans="3:6" ht="12.5">
      <c r="C552" s="84"/>
      <c r="D552" s="84"/>
      <c r="E552" s="84"/>
      <c r="F552" s="84"/>
    </row>
    <row r="553" spans="3:6" ht="12.5">
      <c r="C553" s="84"/>
      <c r="D553" s="84"/>
      <c r="E553" s="84"/>
      <c r="F553" s="84"/>
    </row>
    <row r="554" spans="3:6" ht="12.5">
      <c r="C554" s="84"/>
      <c r="D554" s="84"/>
      <c r="E554" s="84"/>
      <c r="F554" s="84"/>
    </row>
    <row r="555" spans="3:6" ht="12.5">
      <c r="C555" s="84"/>
      <c r="D555" s="84"/>
      <c r="E555" s="84"/>
      <c r="F555" s="84"/>
    </row>
    <row r="556" spans="3:6" ht="12.5">
      <c r="C556" s="84"/>
      <c r="D556" s="84"/>
      <c r="E556" s="84"/>
      <c r="F556" s="84"/>
    </row>
    <row r="557" spans="3:6" ht="12.5">
      <c r="C557" s="84"/>
      <c r="D557" s="84"/>
      <c r="E557" s="84"/>
      <c r="F557" s="84"/>
    </row>
    <row r="558" spans="3:6" ht="12.5">
      <c r="C558" s="84"/>
      <c r="D558" s="84"/>
      <c r="E558" s="84"/>
      <c r="F558" s="84"/>
    </row>
    <row r="559" spans="3:6" ht="12.5">
      <c r="C559" s="84"/>
      <c r="D559" s="84"/>
      <c r="E559" s="84"/>
      <c r="F559" s="84"/>
    </row>
    <row r="560" spans="3:6" ht="12.5">
      <c r="C560" s="84"/>
      <c r="D560" s="84"/>
      <c r="E560" s="84"/>
      <c r="F560" s="84"/>
    </row>
    <row r="561" spans="3:6" ht="12.5">
      <c r="C561" s="84"/>
      <c r="D561" s="84"/>
      <c r="E561" s="84"/>
      <c r="F561" s="84"/>
    </row>
    <row r="562" spans="3:6" ht="12.5">
      <c r="C562" s="84"/>
      <c r="D562" s="84"/>
      <c r="E562" s="84"/>
      <c r="F562" s="84"/>
    </row>
    <row r="563" spans="3:6" ht="12.5">
      <c r="C563" s="84"/>
      <c r="D563" s="84"/>
      <c r="E563" s="84"/>
      <c r="F563" s="84"/>
    </row>
    <row r="564" spans="3:6" ht="12.5">
      <c r="C564" s="84"/>
      <c r="D564" s="84"/>
      <c r="E564" s="84"/>
      <c r="F564" s="84"/>
    </row>
    <row r="565" spans="3:6" ht="12.5">
      <c r="C565" s="84"/>
      <c r="D565" s="84"/>
      <c r="E565" s="84"/>
      <c r="F565" s="84"/>
    </row>
    <row r="566" spans="3:6" ht="12.5">
      <c r="C566" s="84"/>
      <c r="D566" s="84"/>
      <c r="E566" s="84"/>
      <c r="F566" s="84"/>
    </row>
    <row r="567" spans="3:6" ht="12.5">
      <c r="C567" s="84"/>
      <c r="D567" s="84"/>
      <c r="E567" s="84"/>
      <c r="F567" s="84"/>
    </row>
    <row r="568" spans="3:6" ht="12.5">
      <c r="C568" s="84"/>
      <c r="D568" s="84"/>
      <c r="E568" s="84"/>
      <c r="F568" s="84"/>
    </row>
    <row r="569" spans="3:6" ht="12.5">
      <c r="C569" s="84"/>
      <c r="D569" s="84"/>
      <c r="E569" s="84"/>
      <c r="F569" s="84"/>
    </row>
    <row r="570" spans="3:6" ht="12.5">
      <c r="C570" s="84"/>
      <c r="D570" s="84"/>
      <c r="E570" s="84"/>
      <c r="F570" s="84"/>
    </row>
    <row r="571" spans="3:6" ht="12.5">
      <c r="C571" s="84"/>
      <c r="D571" s="84"/>
      <c r="E571" s="84"/>
      <c r="F571" s="84"/>
    </row>
    <row r="572" spans="3:6" ht="12.5">
      <c r="C572" s="84"/>
      <c r="D572" s="84"/>
      <c r="E572" s="84"/>
      <c r="F572" s="84"/>
    </row>
    <row r="573" spans="3:6" ht="12.5">
      <c r="C573" s="84"/>
      <c r="D573" s="84"/>
      <c r="E573" s="84"/>
      <c r="F573" s="84"/>
    </row>
    <row r="574" spans="3:6" ht="12.5">
      <c r="C574" s="84"/>
      <c r="D574" s="84"/>
      <c r="E574" s="84"/>
      <c r="F574" s="84"/>
    </row>
    <row r="575" spans="3:6" ht="12.5">
      <c r="C575" s="84"/>
      <c r="D575" s="84"/>
      <c r="E575" s="84"/>
      <c r="F575" s="84"/>
    </row>
    <row r="576" spans="3:6" ht="12.5">
      <c r="C576" s="84"/>
      <c r="D576" s="84"/>
      <c r="E576" s="84"/>
      <c r="F576" s="84"/>
    </row>
    <row r="577" spans="3:6" ht="12.5">
      <c r="C577" s="84"/>
      <c r="D577" s="84"/>
      <c r="E577" s="84"/>
      <c r="F577" s="84"/>
    </row>
    <row r="578" spans="3:6" ht="12.5">
      <c r="C578" s="84"/>
      <c r="D578" s="84"/>
      <c r="E578" s="84"/>
      <c r="F578" s="84"/>
    </row>
    <row r="579" spans="3:6" ht="12.5">
      <c r="C579" s="84"/>
      <c r="D579" s="84"/>
      <c r="E579" s="84"/>
      <c r="F579" s="84"/>
    </row>
    <row r="580" spans="3:6" ht="12.5">
      <c r="C580" s="84"/>
      <c r="D580" s="84"/>
      <c r="E580" s="84"/>
      <c r="F580" s="84"/>
    </row>
    <row r="581" spans="3:6" ht="12.5">
      <c r="C581" s="84"/>
      <c r="D581" s="84"/>
      <c r="E581" s="84"/>
      <c r="F581" s="84"/>
    </row>
    <row r="582" spans="3:6" ht="12.5">
      <c r="C582" s="84"/>
      <c r="D582" s="84"/>
      <c r="E582" s="84"/>
      <c r="F582" s="84"/>
    </row>
    <row r="583" spans="3:6" ht="12.5">
      <c r="C583" s="84"/>
      <c r="D583" s="84"/>
      <c r="E583" s="84"/>
      <c r="F583" s="84"/>
    </row>
    <row r="584" spans="3:6" ht="12.5">
      <c r="C584" s="84"/>
      <c r="D584" s="84"/>
      <c r="E584" s="84"/>
      <c r="F584" s="84"/>
    </row>
    <row r="585" spans="3:6" ht="12.5">
      <c r="C585" s="84"/>
      <c r="D585" s="84"/>
      <c r="E585" s="84"/>
      <c r="F585" s="84"/>
    </row>
    <row r="586" spans="3:6" ht="12.5">
      <c r="C586" s="84"/>
      <c r="D586" s="84"/>
      <c r="E586" s="84"/>
      <c r="F586" s="84"/>
    </row>
    <row r="587" spans="3:6" ht="12.5">
      <c r="C587" s="84"/>
      <c r="D587" s="84"/>
      <c r="E587" s="84"/>
      <c r="F587" s="84"/>
    </row>
    <row r="588" spans="3:6" ht="12.5">
      <c r="C588" s="84"/>
      <c r="D588" s="84"/>
      <c r="E588" s="84"/>
      <c r="F588" s="84"/>
    </row>
    <row r="589" spans="3:6" ht="12.5">
      <c r="C589" s="84"/>
      <c r="D589" s="84"/>
      <c r="E589" s="84"/>
      <c r="F589" s="84"/>
    </row>
    <row r="590" spans="3:6" ht="12.5">
      <c r="C590" s="84"/>
      <c r="D590" s="84"/>
      <c r="E590" s="84"/>
      <c r="F590" s="84"/>
    </row>
    <row r="591" spans="3:6" ht="12.5">
      <c r="C591" s="84"/>
      <c r="D591" s="84"/>
      <c r="E591" s="84"/>
      <c r="F591" s="84"/>
    </row>
    <row r="592" spans="3:6" ht="12.5">
      <c r="C592" s="84"/>
      <c r="D592" s="84"/>
      <c r="E592" s="84"/>
      <c r="F592" s="84"/>
    </row>
    <row r="593" spans="3:6" ht="12.5">
      <c r="C593" s="84"/>
      <c r="D593" s="84"/>
      <c r="E593" s="84"/>
      <c r="F593" s="84"/>
    </row>
    <row r="594" spans="3:6" ht="12.5">
      <c r="C594" s="84"/>
      <c r="D594" s="84"/>
      <c r="E594" s="84"/>
      <c r="F594" s="84"/>
    </row>
    <row r="595" spans="3:6" ht="12.5">
      <c r="C595" s="84"/>
      <c r="D595" s="84"/>
      <c r="E595" s="84"/>
      <c r="F595" s="84"/>
    </row>
    <row r="596" spans="3:6" ht="12.5">
      <c r="C596" s="84"/>
      <c r="D596" s="84"/>
      <c r="E596" s="84"/>
      <c r="F596" s="84"/>
    </row>
    <row r="597" spans="3:6" ht="12.5">
      <c r="C597" s="84"/>
      <c r="D597" s="84"/>
      <c r="E597" s="84"/>
      <c r="F597" s="84"/>
    </row>
    <row r="598" spans="3:6" ht="12.5">
      <c r="C598" s="84"/>
      <c r="D598" s="84"/>
      <c r="E598" s="84"/>
      <c r="F598" s="84"/>
    </row>
    <row r="599" spans="3:6" ht="12.5">
      <c r="C599" s="84"/>
      <c r="D599" s="84"/>
      <c r="E599" s="84"/>
      <c r="F599" s="84"/>
    </row>
    <row r="600" spans="3:6" ht="12.5">
      <c r="C600" s="84"/>
      <c r="D600" s="84"/>
      <c r="E600" s="84"/>
      <c r="F600" s="84"/>
    </row>
    <row r="601" spans="3:6" ht="12.5">
      <c r="C601" s="84"/>
      <c r="D601" s="84"/>
      <c r="E601" s="84"/>
      <c r="F601" s="84"/>
    </row>
    <row r="602" spans="3:6" ht="12.5">
      <c r="C602" s="84"/>
      <c r="D602" s="84"/>
      <c r="E602" s="84"/>
      <c r="F602" s="84"/>
    </row>
    <row r="603" spans="3:6" ht="12.5">
      <c r="C603" s="84"/>
      <c r="D603" s="84"/>
      <c r="E603" s="84"/>
      <c r="F603" s="84"/>
    </row>
    <row r="604" spans="3:6" ht="12.5">
      <c r="C604" s="84"/>
      <c r="D604" s="84"/>
      <c r="E604" s="84"/>
      <c r="F604" s="84"/>
    </row>
    <row r="605" spans="3:6" ht="12.5">
      <c r="C605" s="84"/>
      <c r="D605" s="84"/>
      <c r="E605" s="84"/>
      <c r="F605" s="84"/>
    </row>
    <row r="606" spans="3:6" ht="12.5">
      <c r="C606" s="84"/>
      <c r="D606" s="84"/>
      <c r="E606" s="84"/>
      <c r="F606" s="84"/>
    </row>
    <row r="607" spans="3:6" ht="12.5">
      <c r="C607" s="84"/>
      <c r="D607" s="84"/>
      <c r="E607" s="84"/>
      <c r="F607" s="84"/>
    </row>
    <row r="608" spans="3:6" ht="12.5">
      <c r="C608" s="84"/>
      <c r="D608" s="84"/>
      <c r="E608" s="84"/>
      <c r="F608" s="84"/>
    </row>
    <row r="609" spans="3:6" ht="12.5">
      <c r="C609" s="84"/>
      <c r="D609" s="84"/>
      <c r="E609" s="84"/>
      <c r="F609" s="84"/>
    </row>
    <row r="610" spans="3:6" ht="12.5">
      <c r="C610" s="84"/>
      <c r="D610" s="84"/>
      <c r="E610" s="84"/>
      <c r="F610" s="84"/>
    </row>
    <row r="611" spans="3:6" ht="12.5">
      <c r="C611" s="84"/>
      <c r="D611" s="84"/>
      <c r="E611" s="84"/>
      <c r="F611" s="84"/>
    </row>
    <row r="612" spans="3:6" ht="12.5">
      <c r="C612" s="84"/>
      <c r="D612" s="84"/>
      <c r="E612" s="84"/>
      <c r="F612" s="84"/>
    </row>
    <row r="613" spans="3:6" ht="12.5">
      <c r="C613" s="84"/>
      <c r="D613" s="84"/>
      <c r="E613" s="84"/>
      <c r="F613" s="84"/>
    </row>
    <row r="614" spans="3:6" ht="12.5">
      <c r="C614" s="84"/>
      <c r="D614" s="84"/>
      <c r="E614" s="84"/>
      <c r="F614" s="84"/>
    </row>
    <row r="615" spans="3:6" ht="12.5">
      <c r="C615" s="84"/>
      <c r="D615" s="84"/>
      <c r="E615" s="84"/>
      <c r="F615" s="84"/>
    </row>
    <row r="616" spans="3:6" ht="12.5">
      <c r="C616" s="84"/>
      <c r="D616" s="84"/>
      <c r="E616" s="84"/>
      <c r="F616" s="84"/>
    </row>
    <row r="617" spans="3:6" ht="12.5">
      <c r="C617" s="84"/>
      <c r="D617" s="84"/>
      <c r="E617" s="84"/>
      <c r="F617" s="84"/>
    </row>
    <row r="618" spans="3:6" ht="12.5">
      <c r="C618" s="84"/>
      <c r="D618" s="84"/>
      <c r="E618" s="84"/>
      <c r="F618" s="84"/>
    </row>
    <row r="619" spans="3:6" ht="12.5">
      <c r="C619" s="84"/>
      <c r="D619" s="84"/>
      <c r="E619" s="84"/>
      <c r="F619" s="84"/>
    </row>
    <row r="620" spans="3:6" ht="12.5">
      <c r="C620" s="84"/>
      <c r="D620" s="84"/>
      <c r="E620" s="84"/>
      <c r="F620" s="84"/>
    </row>
    <row r="621" spans="3:6" ht="12.5">
      <c r="C621" s="84"/>
      <c r="D621" s="84"/>
      <c r="E621" s="84"/>
      <c r="F621" s="84"/>
    </row>
    <row r="622" spans="3:6" ht="12.5">
      <c r="C622" s="84"/>
      <c r="D622" s="84"/>
      <c r="E622" s="84"/>
      <c r="F622" s="84"/>
    </row>
    <row r="623" spans="3:6" ht="12.5">
      <c r="C623" s="84"/>
      <c r="D623" s="84"/>
      <c r="E623" s="84"/>
      <c r="F623" s="84"/>
    </row>
    <row r="624" spans="3:6" ht="12.5">
      <c r="C624" s="84"/>
      <c r="D624" s="84"/>
      <c r="E624" s="84"/>
      <c r="F624" s="84"/>
    </row>
    <row r="625" spans="3:6" ht="12.5">
      <c r="C625" s="84"/>
      <c r="D625" s="84"/>
      <c r="E625" s="84"/>
      <c r="F625" s="84"/>
    </row>
    <row r="626" spans="3:6" ht="12.5">
      <c r="C626" s="84"/>
      <c r="D626" s="84"/>
      <c r="E626" s="84"/>
      <c r="F626" s="84"/>
    </row>
    <row r="627" spans="3:6" ht="12.5">
      <c r="C627" s="84"/>
      <c r="D627" s="84"/>
      <c r="E627" s="84"/>
      <c r="F627" s="84"/>
    </row>
    <row r="628" spans="3:6" ht="12.5">
      <c r="C628" s="84"/>
      <c r="D628" s="84"/>
      <c r="E628" s="84"/>
      <c r="F628" s="84"/>
    </row>
    <row r="629" spans="3:6" ht="12.5">
      <c r="C629" s="84"/>
      <c r="D629" s="84"/>
      <c r="E629" s="84"/>
      <c r="F629" s="84"/>
    </row>
    <row r="630" spans="3:6" ht="12.5">
      <c r="C630" s="84"/>
      <c r="D630" s="84"/>
      <c r="E630" s="84"/>
      <c r="F630" s="84"/>
    </row>
    <row r="631" spans="3:6" ht="12.5">
      <c r="C631" s="84"/>
      <c r="D631" s="84"/>
      <c r="E631" s="84"/>
      <c r="F631" s="84"/>
    </row>
    <row r="632" spans="3:6" ht="12.5">
      <c r="C632" s="84"/>
      <c r="D632" s="84"/>
      <c r="E632" s="84"/>
      <c r="F632" s="84"/>
    </row>
    <row r="633" spans="3:6" ht="12.5">
      <c r="C633" s="84"/>
      <c r="D633" s="84"/>
      <c r="E633" s="84"/>
      <c r="F633" s="84"/>
    </row>
    <row r="634" spans="3:6" ht="12.5">
      <c r="C634" s="84"/>
      <c r="D634" s="84"/>
      <c r="E634" s="84"/>
      <c r="F634" s="84"/>
    </row>
    <row r="635" spans="3:6" ht="12.5">
      <c r="C635" s="84"/>
      <c r="D635" s="84"/>
      <c r="E635" s="84"/>
      <c r="F635" s="84"/>
    </row>
    <row r="636" spans="3:6" ht="12.5">
      <c r="C636" s="84"/>
      <c r="D636" s="84"/>
      <c r="E636" s="84"/>
      <c r="F636" s="84"/>
    </row>
    <row r="637" spans="3:6" ht="12.5">
      <c r="C637" s="84"/>
      <c r="D637" s="84"/>
      <c r="E637" s="84"/>
      <c r="F637" s="84"/>
    </row>
    <row r="638" spans="3:6" ht="12.5">
      <c r="C638" s="84"/>
      <c r="D638" s="84"/>
      <c r="E638" s="84"/>
      <c r="F638" s="84"/>
    </row>
    <row r="639" spans="3:6" ht="12.5">
      <c r="C639" s="84"/>
      <c r="D639" s="84"/>
      <c r="E639" s="84"/>
      <c r="F639" s="84"/>
    </row>
    <row r="640" spans="3:6" ht="12.5">
      <c r="C640" s="84"/>
      <c r="D640" s="84"/>
      <c r="E640" s="84"/>
      <c r="F640" s="84"/>
    </row>
    <row r="641" spans="3:6" ht="12.5">
      <c r="C641" s="84"/>
      <c r="D641" s="84"/>
      <c r="E641" s="84"/>
      <c r="F641" s="84"/>
    </row>
    <row r="642" spans="3:6" ht="12.5">
      <c r="C642" s="84"/>
      <c r="D642" s="84"/>
      <c r="E642" s="84"/>
      <c r="F642" s="84"/>
    </row>
    <row r="643" spans="3:6" ht="12.5">
      <c r="C643" s="84"/>
      <c r="D643" s="84"/>
      <c r="E643" s="84"/>
      <c r="F643" s="84"/>
    </row>
    <row r="644" spans="3:6" ht="12.5">
      <c r="C644" s="84"/>
      <c r="D644" s="84"/>
      <c r="E644" s="84"/>
      <c r="F644" s="84"/>
    </row>
    <row r="645" spans="3:6" ht="12.5">
      <c r="C645" s="84"/>
      <c r="D645" s="84"/>
      <c r="E645" s="84"/>
      <c r="F645" s="84"/>
    </row>
    <row r="646" spans="3:6" ht="12.5">
      <c r="C646" s="84"/>
      <c r="D646" s="84"/>
      <c r="E646" s="84"/>
      <c r="F646" s="84"/>
    </row>
    <row r="647" spans="3:6" ht="12.5">
      <c r="C647" s="84"/>
      <c r="D647" s="84"/>
      <c r="E647" s="84"/>
      <c r="F647" s="84"/>
    </row>
    <row r="648" spans="3:6" ht="12.5">
      <c r="C648" s="84"/>
      <c r="D648" s="84"/>
      <c r="E648" s="84"/>
      <c r="F648" s="84"/>
    </row>
    <row r="649" spans="3:6" ht="12.5">
      <c r="C649" s="84"/>
      <c r="D649" s="84"/>
      <c r="E649" s="84"/>
      <c r="F649" s="84"/>
    </row>
    <row r="650" spans="3:6" ht="12.5">
      <c r="C650" s="84"/>
      <c r="D650" s="84"/>
      <c r="E650" s="84"/>
      <c r="F650" s="84"/>
    </row>
    <row r="651" spans="3:6" ht="12.5">
      <c r="C651" s="84"/>
      <c r="D651" s="84"/>
      <c r="E651" s="84"/>
      <c r="F651" s="84"/>
    </row>
    <row r="652" spans="3:6" ht="12.5">
      <c r="C652" s="84"/>
      <c r="D652" s="84"/>
      <c r="E652" s="84"/>
      <c r="F652" s="84"/>
    </row>
    <row r="653" spans="3:6" ht="12.5">
      <c r="C653" s="84"/>
      <c r="D653" s="84"/>
      <c r="E653" s="84"/>
      <c r="F653" s="84"/>
    </row>
    <row r="654" spans="3:6" ht="12.5">
      <c r="C654" s="84"/>
      <c r="D654" s="84"/>
      <c r="E654" s="84"/>
      <c r="F654" s="84"/>
    </row>
    <row r="655" spans="3:6" ht="12.5">
      <c r="C655" s="84"/>
      <c r="D655" s="84"/>
      <c r="E655" s="84"/>
      <c r="F655" s="84"/>
    </row>
    <row r="656" spans="3:6" ht="12.5">
      <c r="C656" s="84"/>
      <c r="D656" s="84"/>
      <c r="E656" s="84"/>
      <c r="F656" s="84"/>
    </row>
    <row r="657" spans="3:6" ht="12.5">
      <c r="C657" s="84"/>
      <c r="D657" s="84"/>
      <c r="E657" s="84"/>
      <c r="F657" s="84"/>
    </row>
    <row r="658" spans="3:6" ht="12.5">
      <c r="C658" s="84"/>
      <c r="D658" s="84"/>
      <c r="E658" s="84"/>
      <c r="F658" s="84"/>
    </row>
    <row r="659" spans="3:6" ht="12.5">
      <c r="C659" s="84"/>
      <c r="D659" s="84"/>
      <c r="E659" s="84"/>
      <c r="F659" s="84"/>
    </row>
    <row r="660" spans="3:6" ht="12.5">
      <c r="C660" s="84"/>
      <c r="D660" s="84"/>
      <c r="E660" s="84"/>
      <c r="F660" s="84"/>
    </row>
    <row r="661" spans="3:6" ht="12.5">
      <c r="C661" s="84"/>
      <c r="D661" s="84"/>
      <c r="E661" s="84"/>
      <c r="F661" s="84"/>
    </row>
    <row r="662" spans="3:6" ht="12.5">
      <c r="C662" s="84"/>
      <c r="D662" s="84"/>
      <c r="E662" s="84"/>
      <c r="F662" s="84"/>
    </row>
    <row r="663" spans="3:6" ht="12.5">
      <c r="C663" s="84"/>
      <c r="D663" s="84"/>
      <c r="E663" s="84"/>
      <c r="F663" s="84"/>
    </row>
    <row r="664" spans="3:6" ht="12.5">
      <c r="C664" s="84"/>
      <c r="D664" s="84"/>
      <c r="E664" s="84"/>
      <c r="F664" s="84"/>
    </row>
    <row r="665" spans="3:6" ht="12.5">
      <c r="C665" s="84"/>
      <c r="D665" s="84"/>
      <c r="E665" s="84"/>
      <c r="F665" s="84"/>
    </row>
    <row r="666" spans="3:6" ht="12.5">
      <c r="C666" s="84"/>
      <c r="D666" s="84"/>
      <c r="E666" s="84"/>
      <c r="F666" s="84"/>
    </row>
    <row r="667" spans="3:6" ht="12.5">
      <c r="C667" s="84"/>
      <c r="D667" s="84"/>
      <c r="E667" s="84"/>
      <c r="F667" s="84"/>
    </row>
    <row r="668" spans="3:6" ht="12.5">
      <c r="C668" s="84"/>
      <c r="D668" s="84"/>
      <c r="E668" s="84"/>
      <c r="F668" s="84"/>
    </row>
    <row r="669" spans="3:6" ht="12.5">
      <c r="C669" s="84"/>
      <c r="D669" s="84"/>
      <c r="E669" s="84"/>
      <c r="F669" s="84"/>
    </row>
    <row r="670" spans="3:6" ht="12.5">
      <c r="C670" s="84"/>
      <c r="D670" s="84"/>
      <c r="E670" s="84"/>
      <c r="F670" s="84"/>
    </row>
    <row r="671" spans="3:6" ht="12.5">
      <c r="C671" s="84"/>
      <c r="D671" s="84"/>
      <c r="E671" s="84"/>
      <c r="F671" s="84"/>
    </row>
    <row r="672" spans="3:6" ht="12.5">
      <c r="C672" s="84"/>
      <c r="D672" s="84"/>
      <c r="E672" s="84"/>
      <c r="F672" s="84"/>
    </row>
    <row r="673" spans="3:6" ht="12.5">
      <c r="C673" s="84"/>
      <c r="D673" s="84"/>
      <c r="E673" s="84"/>
      <c r="F673" s="84"/>
    </row>
    <row r="674" spans="3:6" ht="12.5">
      <c r="C674" s="84"/>
      <c r="D674" s="84"/>
      <c r="E674" s="84"/>
      <c r="F674" s="84"/>
    </row>
    <row r="675" spans="3:6" ht="12.5">
      <c r="C675" s="84"/>
      <c r="D675" s="84"/>
      <c r="E675" s="84"/>
      <c r="F675" s="84"/>
    </row>
    <row r="676" spans="3:6" ht="12.5">
      <c r="C676" s="84"/>
      <c r="D676" s="84"/>
      <c r="E676" s="84"/>
      <c r="F676" s="84"/>
    </row>
    <row r="677" spans="3:6" ht="12.5">
      <c r="C677" s="84"/>
      <c r="D677" s="84"/>
      <c r="E677" s="84"/>
      <c r="F677" s="84"/>
    </row>
    <row r="678" spans="3:6" ht="12.5">
      <c r="C678" s="84"/>
      <c r="D678" s="84"/>
      <c r="E678" s="84"/>
      <c r="F678" s="84"/>
    </row>
    <row r="679" spans="3:6" ht="12.5">
      <c r="C679" s="84"/>
      <c r="D679" s="84"/>
      <c r="E679" s="84"/>
      <c r="F679" s="84"/>
    </row>
    <row r="680" spans="3:6" ht="12.5">
      <c r="C680" s="84"/>
      <c r="D680" s="84"/>
      <c r="E680" s="84"/>
      <c r="F680" s="84"/>
    </row>
    <row r="681" spans="3:6" ht="12.5">
      <c r="C681" s="84"/>
      <c r="D681" s="84"/>
      <c r="E681" s="84"/>
      <c r="F681" s="84"/>
    </row>
    <row r="682" spans="3:6" ht="12.5">
      <c r="C682" s="84"/>
      <c r="D682" s="84"/>
      <c r="E682" s="84"/>
      <c r="F682" s="84"/>
    </row>
    <row r="683" spans="3:6" ht="12.5">
      <c r="C683" s="84"/>
      <c r="D683" s="84"/>
      <c r="E683" s="84"/>
      <c r="F683" s="84"/>
    </row>
    <row r="684" spans="3:6" ht="12.5">
      <c r="C684" s="84"/>
      <c r="D684" s="84"/>
      <c r="E684" s="84"/>
      <c r="F684" s="84"/>
    </row>
    <row r="685" spans="3:6" ht="12.5">
      <c r="C685" s="84"/>
      <c r="D685" s="84"/>
      <c r="E685" s="84"/>
      <c r="F685" s="84"/>
    </row>
    <row r="686" spans="3:6" ht="12.5">
      <c r="C686" s="84"/>
      <c r="D686" s="84"/>
      <c r="E686" s="84"/>
      <c r="F686" s="84"/>
    </row>
    <row r="687" spans="3:6" ht="12.5">
      <c r="C687" s="84"/>
      <c r="D687" s="84"/>
      <c r="E687" s="84"/>
      <c r="F687" s="84"/>
    </row>
    <row r="688" spans="3:6" ht="12.5">
      <c r="C688" s="84"/>
      <c r="D688" s="84"/>
      <c r="E688" s="84"/>
      <c r="F688" s="84"/>
    </row>
    <row r="689" spans="3:6" ht="12.5">
      <c r="C689" s="84"/>
      <c r="D689" s="84"/>
      <c r="E689" s="84"/>
      <c r="F689" s="84"/>
    </row>
    <row r="690" spans="3:6" ht="12.5">
      <c r="C690" s="84"/>
      <c r="D690" s="84"/>
      <c r="E690" s="84"/>
      <c r="F690" s="84"/>
    </row>
    <row r="691" spans="3:6" ht="12.5">
      <c r="C691" s="84"/>
      <c r="D691" s="84"/>
      <c r="E691" s="84"/>
      <c r="F691" s="84"/>
    </row>
    <row r="692" spans="3:6" ht="12.5">
      <c r="C692" s="84"/>
      <c r="D692" s="84"/>
      <c r="E692" s="84"/>
      <c r="F692" s="84"/>
    </row>
    <row r="693" spans="3:6" ht="12.5">
      <c r="C693" s="84"/>
      <c r="D693" s="84"/>
      <c r="E693" s="84"/>
      <c r="F693" s="84"/>
    </row>
    <row r="694" spans="3:6" ht="12.5">
      <c r="C694" s="84"/>
      <c r="D694" s="84"/>
      <c r="E694" s="84"/>
      <c r="F694" s="84"/>
    </row>
    <row r="695" spans="3:6" ht="12.5">
      <c r="C695" s="84"/>
      <c r="D695" s="84"/>
      <c r="E695" s="84"/>
      <c r="F695" s="84"/>
    </row>
    <row r="696" spans="3:6" ht="12.5">
      <c r="C696" s="84"/>
      <c r="D696" s="84"/>
      <c r="E696" s="84"/>
      <c r="F696" s="84"/>
    </row>
    <row r="697" spans="3:6" ht="12.5">
      <c r="C697" s="84"/>
      <c r="D697" s="84"/>
      <c r="E697" s="84"/>
      <c r="F697" s="84"/>
    </row>
    <row r="698" spans="3:6" ht="12.5">
      <c r="C698" s="84"/>
      <c r="D698" s="84"/>
      <c r="E698" s="84"/>
      <c r="F698" s="84"/>
    </row>
    <row r="699" spans="3:6" ht="12.5">
      <c r="C699" s="84"/>
      <c r="D699" s="84"/>
      <c r="E699" s="84"/>
      <c r="F699" s="84"/>
    </row>
    <row r="700" spans="3:6" ht="12.5">
      <c r="C700" s="84"/>
      <c r="D700" s="84"/>
      <c r="E700" s="84"/>
      <c r="F700" s="84"/>
    </row>
    <row r="701" spans="3:6" ht="12.5">
      <c r="C701" s="84"/>
      <c r="D701" s="84"/>
      <c r="E701" s="84"/>
      <c r="F701" s="84"/>
    </row>
    <row r="702" spans="3:6" ht="12.5">
      <c r="C702" s="84"/>
      <c r="D702" s="84"/>
      <c r="E702" s="84"/>
      <c r="F702" s="84"/>
    </row>
    <row r="703" spans="3:6" ht="12.5">
      <c r="C703" s="84"/>
      <c r="D703" s="84"/>
      <c r="E703" s="84"/>
      <c r="F703" s="84"/>
    </row>
    <row r="704" spans="3:6" ht="12.5">
      <c r="C704" s="84"/>
      <c r="D704" s="84"/>
      <c r="E704" s="84"/>
      <c r="F704" s="84"/>
    </row>
    <row r="705" spans="3:6" ht="12.5">
      <c r="C705" s="84"/>
      <c r="D705" s="84"/>
      <c r="E705" s="84"/>
      <c r="F705" s="84"/>
    </row>
    <row r="706" spans="3:6" ht="12.5">
      <c r="C706" s="84"/>
      <c r="D706" s="84"/>
      <c r="E706" s="84"/>
      <c r="F706" s="84"/>
    </row>
    <row r="707" spans="3:6" ht="12.5">
      <c r="C707" s="84"/>
      <c r="D707" s="84"/>
      <c r="E707" s="84"/>
      <c r="F707" s="84"/>
    </row>
    <row r="708" spans="3:6" ht="12.5">
      <c r="C708" s="84"/>
      <c r="D708" s="84"/>
      <c r="E708" s="84"/>
      <c r="F708" s="84"/>
    </row>
    <row r="709" spans="3:6" ht="12.5">
      <c r="C709" s="84"/>
      <c r="D709" s="84"/>
      <c r="E709" s="84"/>
      <c r="F709" s="84"/>
    </row>
    <row r="710" spans="3:6" ht="12.5">
      <c r="C710" s="84"/>
      <c r="D710" s="84"/>
      <c r="E710" s="84"/>
      <c r="F710" s="84"/>
    </row>
    <row r="711" spans="3:6" ht="12.5">
      <c r="C711" s="84"/>
      <c r="D711" s="84"/>
      <c r="E711" s="84"/>
      <c r="F711" s="84"/>
    </row>
    <row r="712" spans="3:6" ht="12.5">
      <c r="C712" s="84"/>
      <c r="D712" s="84"/>
      <c r="E712" s="84"/>
      <c r="F712" s="84"/>
    </row>
    <row r="713" spans="3:6" ht="12.5">
      <c r="C713" s="84"/>
      <c r="D713" s="84"/>
      <c r="E713" s="84"/>
      <c r="F713" s="84"/>
    </row>
    <row r="714" spans="3:6" ht="12.5">
      <c r="C714" s="84"/>
      <c r="D714" s="84"/>
      <c r="E714" s="84"/>
      <c r="F714" s="84"/>
    </row>
    <row r="715" spans="3:6" ht="12.5">
      <c r="C715" s="84"/>
      <c r="D715" s="84"/>
      <c r="E715" s="84"/>
      <c r="F715" s="84"/>
    </row>
    <row r="716" spans="3:6" ht="12.5">
      <c r="C716" s="84"/>
      <c r="D716" s="84"/>
      <c r="E716" s="84"/>
      <c r="F716" s="84"/>
    </row>
    <row r="717" spans="3:6" ht="12.5">
      <c r="C717" s="84"/>
      <c r="D717" s="84"/>
      <c r="E717" s="84"/>
      <c r="F717" s="84"/>
    </row>
    <row r="718" spans="3:6" ht="12.5">
      <c r="C718" s="84"/>
      <c r="D718" s="84"/>
      <c r="E718" s="84"/>
      <c r="F718" s="84"/>
    </row>
    <row r="719" spans="3:6" ht="12.5">
      <c r="C719" s="84"/>
      <c r="D719" s="84"/>
      <c r="E719" s="84"/>
      <c r="F719" s="84"/>
    </row>
    <row r="720" spans="3:6" ht="12.5">
      <c r="C720" s="84"/>
      <c r="D720" s="84"/>
      <c r="E720" s="84"/>
      <c r="F720" s="84"/>
    </row>
    <row r="721" spans="3:6" ht="12.5">
      <c r="C721" s="84"/>
      <c r="D721" s="84"/>
      <c r="E721" s="84"/>
      <c r="F721" s="84"/>
    </row>
    <row r="722" spans="3:6" ht="12.5">
      <c r="C722" s="84"/>
      <c r="D722" s="84"/>
      <c r="E722" s="84"/>
      <c r="F722" s="84"/>
    </row>
    <row r="723" spans="3:6" ht="12.5">
      <c r="C723" s="84"/>
      <c r="D723" s="84"/>
      <c r="E723" s="84"/>
      <c r="F723" s="84"/>
    </row>
    <row r="724" spans="3:6" ht="12.5">
      <c r="C724" s="84"/>
      <c r="D724" s="84"/>
      <c r="E724" s="84"/>
      <c r="F724" s="84"/>
    </row>
    <row r="725" spans="3:6" ht="12.5">
      <c r="C725" s="84"/>
      <c r="D725" s="84"/>
      <c r="E725" s="84"/>
      <c r="F725" s="84"/>
    </row>
    <row r="726" spans="3:6" ht="12.5">
      <c r="C726" s="84"/>
      <c r="D726" s="84"/>
      <c r="E726" s="84"/>
      <c r="F726" s="84"/>
    </row>
    <row r="727" spans="3:6" ht="12.5">
      <c r="C727" s="84"/>
      <c r="D727" s="84"/>
      <c r="E727" s="84"/>
      <c r="F727" s="84"/>
    </row>
    <row r="728" spans="3:6" ht="12.5">
      <c r="C728" s="84"/>
      <c r="D728" s="84"/>
      <c r="E728" s="84"/>
      <c r="F728" s="84"/>
    </row>
    <row r="729" spans="3:6" ht="12.5">
      <c r="C729" s="84"/>
      <c r="D729" s="84"/>
      <c r="E729" s="84"/>
      <c r="F729" s="84"/>
    </row>
    <row r="730" spans="3:6" ht="12.5">
      <c r="C730" s="84"/>
      <c r="D730" s="84"/>
      <c r="E730" s="84"/>
      <c r="F730" s="84"/>
    </row>
    <row r="731" spans="3:6" ht="12.5">
      <c r="C731" s="84"/>
      <c r="D731" s="84"/>
      <c r="E731" s="84"/>
      <c r="F731" s="84"/>
    </row>
    <row r="732" spans="3:6" ht="12.5">
      <c r="C732" s="84"/>
      <c r="D732" s="84"/>
      <c r="E732" s="84"/>
      <c r="F732" s="84"/>
    </row>
    <row r="733" spans="3:6" ht="12.5">
      <c r="C733" s="84"/>
      <c r="D733" s="84"/>
      <c r="E733" s="84"/>
      <c r="F733" s="84"/>
    </row>
    <row r="734" spans="3:6" ht="12.5">
      <c r="C734" s="84"/>
      <c r="D734" s="84"/>
      <c r="E734" s="84"/>
      <c r="F734" s="84"/>
    </row>
    <row r="735" spans="3:6" ht="12.5">
      <c r="C735" s="84"/>
      <c r="D735" s="84"/>
      <c r="E735" s="84"/>
      <c r="F735" s="84"/>
    </row>
    <row r="736" spans="3:6" ht="12.5">
      <c r="C736" s="84"/>
      <c r="D736" s="84"/>
      <c r="E736" s="84"/>
      <c r="F736" s="84"/>
    </row>
    <row r="737" spans="3:6" ht="12.5">
      <c r="C737" s="84"/>
      <c r="D737" s="84"/>
      <c r="E737" s="84"/>
      <c r="F737" s="84"/>
    </row>
    <row r="738" spans="3:6" ht="12.5">
      <c r="C738" s="84"/>
      <c r="D738" s="84"/>
      <c r="E738" s="84"/>
      <c r="F738" s="84"/>
    </row>
    <row r="739" spans="3:6" ht="12.5">
      <c r="C739" s="84"/>
      <c r="D739" s="84"/>
      <c r="E739" s="84"/>
      <c r="F739" s="84"/>
    </row>
    <row r="740" spans="3:6" ht="12.5">
      <c r="C740" s="84"/>
      <c r="D740" s="84"/>
      <c r="E740" s="84"/>
      <c r="F740" s="84"/>
    </row>
    <row r="741" spans="3:6" ht="12.5">
      <c r="C741" s="84"/>
      <c r="D741" s="84"/>
      <c r="E741" s="84"/>
      <c r="F741" s="84"/>
    </row>
    <row r="742" spans="3:6" ht="12.5">
      <c r="C742" s="84"/>
      <c r="D742" s="84"/>
      <c r="E742" s="84"/>
      <c r="F742" s="84"/>
    </row>
    <row r="743" spans="3:6" ht="12.5">
      <c r="C743" s="84"/>
      <c r="D743" s="84"/>
      <c r="E743" s="84"/>
      <c r="F743" s="84"/>
    </row>
    <row r="744" spans="3:6" ht="12.5">
      <c r="C744" s="84"/>
      <c r="D744" s="84"/>
      <c r="E744" s="84"/>
      <c r="F744" s="84"/>
    </row>
    <row r="745" spans="3:6" ht="12.5">
      <c r="C745" s="84"/>
      <c r="D745" s="84"/>
      <c r="E745" s="84"/>
      <c r="F745" s="84"/>
    </row>
    <row r="746" spans="3:6" ht="12.5">
      <c r="C746" s="84"/>
      <c r="D746" s="84"/>
      <c r="E746" s="84"/>
      <c r="F746" s="84"/>
    </row>
    <row r="747" spans="3:6" ht="12.5">
      <c r="C747" s="84"/>
      <c r="D747" s="84"/>
      <c r="E747" s="84"/>
      <c r="F747" s="84"/>
    </row>
    <row r="748" spans="3:6" ht="12.5">
      <c r="C748" s="84"/>
      <c r="D748" s="84"/>
      <c r="E748" s="84"/>
      <c r="F748" s="84"/>
    </row>
    <row r="749" spans="3:6" ht="12.5">
      <c r="C749" s="84"/>
      <c r="D749" s="84"/>
      <c r="E749" s="84"/>
      <c r="F749" s="84"/>
    </row>
    <row r="750" spans="3:6" ht="12.5">
      <c r="C750" s="84"/>
      <c r="D750" s="84"/>
      <c r="E750" s="84"/>
      <c r="F750" s="84"/>
    </row>
    <row r="751" spans="3:6" ht="12.5">
      <c r="C751" s="84"/>
      <c r="D751" s="84"/>
      <c r="E751" s="84"/>
      <c r="F751" s="84"/>
    </row>
    <row r="752" spans="3:6" ht="12.5">
      <c r="C752" s="84"/>
      <c r="D752" s="84"/>
      <c r="E752" s="84"/>
      <c r="F752" s="84"/>
    </row>
    <row r="753" spans="3:6" ht="12.5">
      <c r="C753" s="84"/>
      <c r="D753" s="84"/>
      <c r="E753" s="84"/>
      <c r="F753" s="84"/>
    </row>
    <row r="754" spans="3:6" ht="12.5">
      <c r="C754" s="84"/>
      <c r="D754" s="84"/>
      <c r="E754" s="84"/>
      <c r="F754" s="84"/>
    </row>
    <row r="755" spans="3:6" ht="12.5">
      <c r="C755" s="84"/>
      <c r="D755" s="84"/>
      <c r="E755" s="84"/>
      <c r="F755" s="84"/>
    </row>
    <row r="756" spans="3:6" ht="12.5">
      <c r="C756" s="84"/>
      <c r="D756" s="84"/>
      <c r="E756" s="84"/>
      <c r="F756" s="84"/>
    </row>
    <row r="757" spans="3:6" ht="12.5">
      <c r="C757" s="84"/>
      <c r="D757" s="84"/>
      <c r="E757" s="84"/>
      <c r="F757" s="84"/>
    </row>
    <row r="758" spans="3:6" ht="12.5">
      <c r="C758" s="84"/>
      <c r="D758" s="84"/>
      <c r="E758" s="84"/>
      <c r="F758" s="84"/>
    </row>
    <row r="759" spans="3:6" ht="12.5">
      <c r="C759" s="84"/>
      <c r="D759" s="84"/>
      <c r="E759" s="84"/>
      <c r="F759" s="84"/>
    </row>
    <row r="760" spans="3:6" ht="12.5">
      <c r="C760" s="84"/>
      <c r="D760" s="84"/>
      <c r="E760" s="84"/>
      <c r="F760" s="84"/>
    </row>
    <row r="761" spans="3:6" ht="12.5">
      <c r="C761" s="84"/>
      <c r="D761" s="84"/>
      <c r="E761" s="84"/>
      <c r="F761" s="84"/>
    </row>
    <row r="762" spans="3:6" ht="12.5">
      <c r="C762" s="84"/>
      <c r="D762" s="84"/>
      <c r="E762" s="84"/>
      <c r="F762" s="84"/>
    </row>
    <row r="763" spans="3:6" ht="12.5">
      <c r="C763" s="84"/>
      <c r="D763" s="84"/>
      <c r="E763" s="84"/>
      <c r="F763" s="84"/>
    </row>
    <row r="764" spans="3:6" ht="12.5">
      <c r="C764" s="84"/>
      <c r="D764" s="84"/>
      <c r="E764" s="84"/>
      <c r="F764" s="84"/>
    </row>
    <row r="765" spans="3:6" ht="12.5">
      <c r="C765" s="84"/>
      <c r="D765" s="84"/>
      <c r="E765" s="84"/>
      <c r="F765" s="84"/>
    </row>
    <row r="766" spans="3:6" ht="12.5">
      <c r="C766" s="84"/>
      <c r="D766" s="84"/>
      <c r="E766" s="84"/>
      <c r="F766" s="84"/>
    </row>
    <row r="767" spans="3:6" ht="12.5">
      <c r="C767" s="84"/>
      <c r="D767" s="84"/>
      <c r="E767" s="84"/>
      <c r="F767" s="84"/>
    </row>
    <row r="768" spans="3:6" ht="12.5">
      <c r="C768" s="84"/>
      <c r="D768" s="84"/>
      <c r="E768" s="84"/>
      <c r="F768" s="84"/>
    </row>
    <row r="769" spans="3:6" ht="12.5">
      <c r="C769" s="84"/>
      <c r="D769" s="84"/>
      <c r="E769" s="84"/>
      <c r="F769" s="84"/>
    </row>
    <row r="770" spans="3:6" ht="12.5">
      <c r="C770" s="84"/>
      <c r="D770" s="84"/>
      <c r="E770" s="84"/>
      <c r="F770" s="84"/>
    </row>
    <row r="771" spans="3:6" ht="12.5">
      <c r="C771" s="84"/>
      <c r="D771" s="84"/>
      <c r="E771" s="84"/>
      <c r="F771" s="84"/>
    </row>
    <row r="772" spans="3:6" ht="12.5">
      <c r="C772" s="84"/>
      <c r="D772" s="84"/>
      <c r="E772" s="84"/>
      <c r="F772" s="84"/>
    </row>
    <row r="773" spans="3:6" ht="12.5">
      <c r="C773" s="84"/>
      <c r="D773" s="84"/>
      <c r="E773" s="84"/>
      <c r="F773" s="84"/>
    </row>
    <row r="774" spans="3:6" ht="12.5">
      <c r="C774" s="84"/>
      <c r="D774" s="84"/>
      <c r="E774" s="84"/>
      <c r="F774" s="84"/>
    </row>
    <row r="775" spans="3:6" ht="12.5">
      <c r="C775" s="84"/>
      <c r="D775" s="84"/>
      <c r="E775" s="84"/>
      <c r="F775" s="84"/>
    </row>
    <row r="776" spans="3:6" ht="12.5">
      <c r="C776" s="84"/>
      <c r="D776" s="84"/>
      <c r="E776" s="84"/>
      <c r="F776" s="84"/>
    </row>
    <row r="777" spans="3:6" ht="12.5">
      <c r="C777" s="84"/>
      <c r="D777" s="84"/>
      <c r="E777" s="84"/>
      <c r="F777" s="84"/>
    </row>
    <row r="778" spans="3:6" ht="12.5">
      <c r="C778" s="84"/>
      <c r="D778" s="84"/>
      <c r="E778" s="84"/>
      <c r="F778" s="84"/>
    </row>
    <row r="779" spans="3:6" ht="12.5">
      <c r="C779" s="84"/>
      <c r="D779" s="84"/>
      <c r="E779" s="84"/>
      <c r="F779" s="84"/>
    </row>
    <row r="780" spans="3:6" ht="12.5">
      <c r="C780" s="84"/>
      <c r="D780" s="84"/>
      <c r="E780" s="84"/>
      <c r="F780" s="84"/>
    </row>
    <row r="781" spans="3:6" ht="12.5">
      <c r="C781" s="84"/>
      <c r="D781" s="84"/>
      <c r="E781" s="84"/>
      <c r="F781" s="84"/>
    </row>
    <row r="782" spans="3:6" ht="12.5">
      <c r="C782" s="84"/>
      <c r="D782" s="84"/>
      <c r="E782" s="84"/>
      <c r="F782" s="84"/>
    </row>
    <row r="783" spans="3:6" ht="12.5">
      <c r="C783" s="84"/>
      <c r="D783" s="84"/>
      <c r="E783" s="84"/>
      <c r="F783" s="84"/>
    </row>
    <row r="784" spans="3:6" ht="12.5">
      <c r="C784" s="84"/>
      <c r="D784" s="84"/>
      <c r="E784" s="84"/>
      <c r="F784" s="84"/>
    </row>
    <row r="785" spans="3:6" ht="12.5">
      <c r="C785" s="84"/>
      <c r="D785" s="84"/>
      <c r="E785" s="84"/>
      <c r="F785" s="84"/>
    </row>
    <row r="786" spans="3:6" ht="12.5">
      <c r="C786" s="84"/>
      <c r="D786" s="84"/>
      <c r="E786" s="84"/>
      <c r="F786" s="84"/>
    </row>
    <row r="787" spans="3:6" ht="12.5">
      <c r="C787" s="84"/>
      <c r="D787" s="84"/>
      <c r="E787" s="84"/>
      <c r="F787" s="84"/>
    </row>
    <row r="788" spans="3:6" ht="12.5">
      <c r="C788" s="84"/>
      <c r="D788" s="84"/>
      <c r="E788" s="84"/>
      <c r="F788" s="84"/>
    </row>
    <row r="789" spans="3:6" ht="12.5">
      <c r="C789" s="84"/>
      <c r="D789" s="84"/>
      <c r="E789" s="84"/>
      <c r="F789" s="84"/>
    </row>
    <row r="790" spans="3:6" ht="12.5">
      <c r="C790" s="84"/>
      <c r="D790" s="84"/>
      <c r="E790" s="84"/>
      <c r="F790" s="84"/>
    </row>
    <row r="791" spans="3:6" ht="12.5">
      <c r="C791" s="84"/>
      <c r="D791" s="84"/>
      <c r="E791" s="84"/>
      <c r="F791" s="84"/>
    </row>
    <row r="792" spans="3:6" ht="12.5">
      <c r="C792" s="84"/>
      <c r="D792" s="84"/>
      <c r="E792" s="84"/>
      <c r="F792" s="84"/>
    </row>
    <row r="793" spans="3:6" ht="12.5">
      <c r="C793" s="84"/>
      <c r="D793" s="84"/>
      <c r="E793" s="84"/>
      <c r="F793" s="84"/>
    </row>
    <row r="794" spans="3:6" ht="12.5">
      <c r="C794" s="84"/>
      <c r="D794" s="84"/>
      <c r="E794" s="84"/>
      <c r="F794" s="84"/>
    </row>
    <row r="795" spans="3:6" ht="12.5">
      <c r="C795" s="84"/>
      <c r="D795" s="84"/>
      <c r="E795" s="84"/>
      <c r="F795" s="84"/>
    </row>
    <row r="796" spans="3:6" ht="12.5">
      <c r="C796" s="84"/>
      <c r="D796" s="84"/>
      <c r="E796" s="84"/>
      <c r="F796" s="84"/>
    </row>
    <row r="797" spans="3:6" ht="12.5">
      <c r="C797" s="84"/>
      <c r="D797" s="84"/>
      <c r="E797" s="84"/>
      <c r="F797" s="84"/>
    </row>
    <row r="798" spans="3:6" ht="12.5">
      <c r="C798" s="84"/>
      <c r="D798" s="84"/>
      <c r="E798" s="84"/>
      <c r="F798" s="84"/>
    </row>
    <row r="799" spans="3:6" ht="12.5">
      <c r="C799" s="84"/>
      <c r="D799" s="84"/>
      <c r="E799" s="84"/>
      <c r="F799" s="84"/>
    </row>
    <row r="800" spans="3:6" ht="12.5">
      <c r="C800" s="84"/>
      <c r="D800" s="84"/>
      <c r="E800" s="84"/>
      <c r="F800" s="84"/>
    </row>
    <row r="801" spans="3:6" ht="12.5">
      <c r="C801" s="84"/>
      <c r="D801" s="84"/>
      <c r="E801" s="84"/>
      <c r="F801" s="84"/>
    </row>
    <row r="802" spans="3:6" ht="12.5">
      <c r="C802" s="84"/>
      <c r="D802" s="84"/>
      <c r="E802" s="84"/>
      <c r="F802" s="84"/>
    </row>
    <row r="803" spans="3:6" ht="12.5">
      <c r="C803" s="84"/>
      <c r="D803" s="84"/>
      <c r="E803" s="84"/>
      <c r="F803" s="84"/>
    </row>
    <row r="804" spans="3:6" ht="12.5">
      <c r="C804" s="84"/>
      <c r="D804" s="84"/>
      <c r="E804" s="84"/>
      <c r="F804" s="84"/>
    </row>
    <row r="805" spans="3:6" ht="12.5">
      <c r="C805" s="84"/>
      <c r="D805" s="84"/>
      <c r="E805" s="84"/>
      <c r="F805" s="84"/>
    </row>
    <row r="806" spans="3:6" ht="12.5">
      <c r="C806" s="84"/>
      <c r="D806" s="84"/>
      <c r="E806" s="84"/>
      <c r="F806" s="84"/>
    </row>
    <row r="807" spans="3:6" ht="12.5">
      <c r="C807" s="84"/>
      <c r="D807" s="84"/>
      <c r="E807" s="84"/>
      <c r="F807" s="84"/>
    </row>
    <row r="808" spans="3:6" ht="12.5">
      <c r="C808" s="84"/>
      <c r="D808" s="84"/>
      <c r="E808" s="84"/>
      <c r="F808" s="84"/>
    </row>
    <row r="809" spans="3:6" ht="12.5">
      <c r="C809" s="84"/>
      <c r="D809" s="84"/>
      <c r="E809" s="84"/>
      <c r="F809" s="84"/>
    </row>
    <row r="810" spans="3:6" ht="12.5">
      <c r="C810" s="84"/>
      <c r="D810" s="84"/>
      <c r="E810" s="84"/>
      <c r="F810" s="84"/>
    </row>
    <row r="811" spans="3:6" ht="12.5">
      <c r="C811" s="84"/>
      <c r="D811" s="84"/>
      <c r="E811" s="84"/>
      <c r="F811" s="84"/>
    </row>
    <row r="812" spans="3:6" ht="12.5">
      <c r="C812" s="84"/>
      <c r="D812" s="84"/>
      <c r="E812" s="84"/>
      <c r="F812" s="84"/>
    </row>
    <row r="813" spans="3:6" ht="12.5">
      <c r="C813" s="84"/>
      <c r="D813" s="84"/>
      <c r="E813" s="84"/>
      <c r="F813" s="84"/>
    </row>
    <row r="814" spans="3:6" ht="12.5">
      <c r="C814" s="84"/>
      <c r="D814" s="84"/>
      <c r="E814" s="84"/>
      <c r="F814" s="84"/>
    </row>
    <row r="815" spans="3:6" ht="12.5">
      <c r="C815" s="84"/>
      <c r="D815" s="84"/>
      <c r="E815" s="84"/>
      <c r="F815" s="84"/>
    </row>
    <row r="816" spans="3:6" ht="12.5">
      <c r="C816" s="84"/>
      <c r="D816" s="84"/>
      <c r="E816" s="84"/>
      <c r="F816" s="84"/>
    </row>
    <row r="817" spans="3:6" ht="12.5">
      <c r="C817" s="84"/>
      <c r="D817" s="84"/>
      <c r="E817" s="84"/>
      <c r="F817" s="84"/>
    </row>
    <row r="818" spans="3:6" ht="12.5">
      <c r="C818" s="84"/>
      <c r="D818" s="84"/>
      <c r="E818" s="84"/>
      <c r="F818" s="84"/>
    </row>
    <row r="819" spans="3:6" ht="12.5">
      <c r="C819" s="84"/>
      <c r="D819" s="84"/>
      <c r="E819" s="84"/>
      <c r="F819" s="84"/>
    </row>
    <row r="820" spans="3:6" ht="12.5">
      <c r="C820" s="84"/>
      <c r="D820" s="84"/>
      <c r="E820" s="84"/>
      <c r="F820" s="84"/>
    </row>
    <row r="821" spans="3:6" ht="12.5">
      <c r="C821" s="84"/>
      <c r="D821" s="84"/>
      <c r="E821" s="84"/>
      <c r="F821" s="84"/>
    </row>
    <row r="822" spans="3:6" ht="12.5">
      <c r="C822" s="84"/>
      <c r="D822" s="84"/>
      <c r="E822" s="84"/>
      <c r="F822" s="84"/>
    </row>
    <row r="823" spans="3:6" ht="12.5">
      <c r="C823" s="84"/>
      <c r="D823" s="84"/>
      <c r="E823" s="84"/>
      <c r="F823" s="84"/>
    </row>
    <row r="824" spans="3:6" ht="12.5">
      <c r="C824" s="84"/>
      <c r="D824" s="84"/>
      <c r="E824" s="84"/>
      <c r="F824" s="84"/>
    </row>
    <row r="825" spans="3:6" ht="12.5">
      <c r="C825" s="84"/>
      <c r="D825" s="84"/>
      <c r="E825" s="84"/>
      <c r="F825" s="84"/>
    </row>
    <row r="826" spans="3:6" ht="12.5">
      <c r="C826" s="84"/>
      <c r="D826" s="84"/>
      <c r="E826" s="84"/>
      <c r="F826" s="84"/>
    </row>
    <row r="827" spans="3:6" ht="12.5">
      <c r="C827" s="84"/>
      <c r="D827" s="84"/>
      <c r="E827" s="84"/>
      <c r="F827" s="84"/>
    </row>
    <row r="828" spans="3:6" ht="12.5">
      <c r="C828" s="84"/>
      <c r="D828" s="84"/>
      <c r="E828" s="84"/>
      <c r="F828" s="84"/>
    </row>
    <row r="829" spans="3:6" ht="12.5">
      <c r="C829" s="84"/>
      <c r="D829" s="84"/>
      <c r="E829" s="84"/>
      <c r="F829" s="84"/>
    </row>
    <row r="830" spans="3:6" ht="12.5">
      <c r="C830" s="84"/>
      <c r="D830" s="84"/>
      <c r="E830" s="84"/>
      <c r="F830" s="84"/>
    </row>
    <row r="831" spans="3:6" ht="12.5">
      <c r="C831" s="84"/>
      <c r="D831" s="84"/>
      <c r="E831" s="84"/>
      <c r="F831" s="84"/>
    </row>
    <row r="832" spans="3:6" ht="12.5">
      <c r="C832" s="84"/>
      <c r="D832" s="84"/>
      <c r="E832" s="84"/>
      <c r="F832" s="84"/>
    </row>
    <row r="833" spans="3:6" ht="12.5">
      <c r="C833" s="84"/>
      <c r="D833" s="84"/>
      <c r="E833" s="84"/>
      <c r="F833" s="84"/>
    </row>
    <row r="834" spans="3:6" ht="12.5">
      <c r="C834" s="84"/>
      <c r="D834" s="84"/>
      <c r="E834" s="84"/>
      <c r="F834" s="84"/>
    </row>
    <row r="835" spans="3:6" ht="12.5">
      <c r="C835" s="84"/>
      <c r="D835" s="84"/>
      <c r="E835" s="84"/>
      <c r="F835" s="84"/>
    </row>
    <row r="836" spans="3:6" ht="12.5">
      <c r="C836" s="84"/>
      <c r="D836" s="84"/>
      <c r="E836" s="84"/>
      <c r="F836" s="84"/>
    </row>
    <row r="837" spans="3:6" ht="12.5">
      <c r="C837" s="84"/>
      <c r="D837" s="84"/>
      <c r="E837" s="84"/>
      <c r="F837" s="84"/>
    </row>
    <row r="838" spans="3:6" ht="12.5">
      <c r="C838" s="84"/>
      <c r="D838" s="84"/>
      <c r="E838" s="84"/>
      <c r="F838" s="84"/>
    </row>
    <row r="839" spans="3:6" ht="12.5">
      <c r="C839" s="84"/>
      <c r="D839" s="84"/>
      <c r="E839" s="84"/>
      <c r="F839" s="84"/>
    </row>
    <row r="840" spans="3:6" ht="12.5">
      <c r="C840" s="84"/>
      <c r="D840" s="84"/>
      <c r="E840" s="84"/>
      <c r="F840" s="84"/>
    </row>
    <row r="841" spans="3:6" ht="12.5">
      <c r="C841" s="84"/>
      <c r="D841" s="84"/>
      <c r="E841" s="84"/>
      <c r="F841" s="84"/>
    </row>
    <row r="842" spans="3:6" ht="12.5">
      <c r="C842" s="84"/>
      <c r="D842" s="84"/>
      <c r="E842" s="84"/>
      <c r="F842" s="84"/>
    </row>
    <row r="843" spans="3:6" ht="12.5">
      <c r="C843" s="84"/>
      <c r="D843" s="84"/>
      <c r="E843" s="84"/>
      <c r="F843" s="84"/>
    </row>
    <row r="844" spans="3:6" ht="12.5">
      <c r="C844" s="84"/>
      <c r="D844" s="84"/>
      <c r="E844" s="84"/>
      <c r="F844" s="84"/>
    </row>
    <row r="845" spans="3:6" ht="12.5">
      <c r="C845" s="84"/>
      <c r="D845" s="84"/>
      <c r="E845" s="84"/>
      <c r="F845" s="84"/>
    </row>
    <row r="846" spans="3:6" ht="12.5">
      <c r="C846" s="84"/>
      <c r="D846" s="84"/>
      <c r="E846" s="84"/>
      <c r="F846" s="84"/>
    </row>
    <row r="847" spans="3:6" ht="12.5">
      <c r="C847" s="84"/>
      <c r="D847" s="84"/>
      <c r="E847" s="84"/>
      <c r="F847" s="84"/>
    </row>
    <row r="848" spans="3:6" ht="12.5">
      <c r="C848" s="84"/>
      <c r="D848" s="84"/>
      <c r="E848" s="84"/>
      <c r="F848" s="84"/>
    </row>
    <row r="849" spans="3:6" ht="12.5">
      <c r="C849" s="84"/>
      <c r="D849" s="84"/>
      <c r="E849" s="84"/>
      <c r="F849" s="84"/>
    </row>
    <row r="850" spans="3:6" ht="12.5">
      <c r="C850" s="84"/>
      <c r="D850" s="84"/>
      <c r="E850" s="84"/>
      <c r="F850" s="84"/>
    </row>
    <row r="851" spans="3:6" ht="12.5">
      <c r="C851" s="84"/>
      <c r="D851" s="84"/>
      <c r="E851" s="84"/>
      <c r="F851" s="84"/>
    </row>
    <row r="852" spans="3:6" ht="12.5">
      <c r="C852" s="84"/>
      <c r="D852" s="84"/>
      <c r="E852" s="84"/>
      <c r="F852" s="84"/>
    </row>
    <row r="853" spans="3:6" ht="12.5">
      <c r="C853" s="84"/>
      <c r="D853" s="84"/>
      <c r="E853" s="84"/>
      <c r="F853" s="84"/>
    </row>
    <row r="854" spans="3:6" ht="12.5">
      <c r="C854" s="84"/>
      <c r="D854" s="84"/>
      <c r="E854" s="84"/>
      <c r="F854" s="84"/>
    </row>
    <row r="855" spans="3:6" ht="12.5">
      <c r="C855" s="84"/>
      <c r="D855" s="84"/>
      <c r="E855" s="84"/>
      <c r="F855" s="84"/>
    </row>
    <row r="856" spans="3:6" ht="12.5">
      <c r="C856" s="84"/>
      <c r="D856" s="84"/>
      <c r="E856" s="84"/>
      <c r="F856" s="84"/>
    </row>
    <row r="857" spans="3:6" ht="12.5">
      <c r="C857" s="84"/>
      <c r="D857" s="84"/>
      <c r="E857" s="84"/>
      <c r="F857" s="84"/>
    </row>
    <row r="858" spans="3:6" ht="12.5">
      <c r="C858" s="84"/>
      <c r="D858" s="84"/>
      <c r="E858" s="84"/>
      <c r="F858" s="84"/>
    </row>
    <row r="859" spans="3:6" ht="12.5">
      <c r="C859" s="84"/>
      <c r="D859" s="84"/>
      <c r="E859" s="84"/>
      <c r="F859" s="84"/>
    </row>
    <row r="860" spans="3:6" ht="12.5">
      <c r="C860" s="84"/>
      <c r="D860" s="84"/>
      <c r="E860" s="84"/>
      <c r="F860" s="84"/>
    </row>
    <row r="861" spans="3:6" ht="12.5">
      <c r="C861" s="84"/>
      <c r="D861" s="84"/>
      <c r="E861" s="84"/>
      <c r="F861" s="84"/>
    </row>
    <row r="862" spans="3:6" ht="12.5">
      <c r="C862" s="84"/>
      <c r="D862" s="84"/>
      <c r="E862" s="84"/>
      <c r="F862" s="84"/>
    </row>
    <row r="863" spans="3:6" ht="12.5">
      <c r="C863" s="84"/>
      <c r="D863" s="84"/>
      <c r="E863" s="84"/>
      <c r="F863" s="84"/>
    </row>
    <row r="864" spans="3:6" ht="12.5">
      <c r="C864" s="84"/>
      <c r="D864" s="84"/>
      <c r="E864" s="84"/>
      <c r="F864" s="84"/>
    </row>
    <row r="865" spans="3:6" ht="12.5">
      <c r="C865" s="84"/>
      <c r="D865" s="84"/>
      <c r="E865" s="84"/>
      <c r="F865" s="84"/>
    </row>
    <row r="866" spans="3:6" ht="12.5">
      <c r="C866" s="84"/>
      <c r="D866" s="84"/>
      <c r="E866" s="84"/>
      <c r="F866" s="84"/>
    </row>
    <row r="867" spans="3:6" ht="12.5">
      <c r="C867" s="84"/>
      <c r="D867" s="84"/>
      <c r="E867" s="84"/>
      <c r="F867" s="84"/>
    </row>
    <row r="868" spans="3:6" ht="12.5">
      <c r="C868" s="84"/>
      <c r="D868" s="84"/>
      <c r="E868" s="84"/>
      <c r="F868" s="84"/>
    </row>
    <row r="869" spans="3:6" ht="12.5">
      <c r="C869" s="84"/>
      <c r="D869" s="84"/>
      <c r="E869" s="84"/>
      <c r="F869" s="84"/>
    </row>
    <row r="870" spans="3:6" ht="12.5">
      <c r="C870" s="84"/>
      <c r="D870" s="84"/>
      <c r="E870" s="84"/>
      <c r="F870" s="84"/>
    </row>
    <row r="871" spans="3:6" ht="12.5">
      <c r="C871" s="84"/>
      <c r="D871" s="84"/>
      <c r="E871" s="84"/>
      <c r="F871" s="84"/>
    </row>
    <row r="872" spans="3:6" ht="12.5">
      <c r="C872" s="84"/>
      <c r="D872" s="84"/>
      <c r="E872" s="84"/>
      <c r="F872" s="84"/>
    </row>
    <row r="873" spans="3:6" ht="12.5">
      <c r="C873" s="84"/>
      <c r="D873" s="84"/>
      <c r="E873" s="84"/>
      <c r="F873" s="84"/>
    </row>
    <row r="874" spans="3:6" ht="12.5">
      <c r="C874" s="84"/>
      <c r="D874" s="84"/>
      <c r="E874" s="84"/>
      <c r="F874" s="84"/>
    </row>
    <row r="875" spans="3:6" ht="12.5">
      <c r="C875" s="84"/>
      <c r="D875" s="84"/>
      <c r="E875" s="84"/>
      <c r="F875" s="84"/>
    </row>
    <row r="876" spans="3:6" ht="12.5">
      <c r="C876" s="84"/>
      <c r="D876" s="84"/>
      <c r="E876" s="84"/>
      <c r="F876" s="84"/>
    </row>
    <row r="877" spans="3:6" ht="12.5">
      <c r="C877" s="84"/>
      <c r="D877" s="84"/>
      <c r="E877" s="84"/>
      <c r="F877" s="84"/>
    </row>
    <row r="878" spans="3:6" ht="12.5">
      <c r="C878" s="84"/>
      <c r="D878" s="84"/>
      <c r="E878" s="84"/>
      <c r="F878" s="84"/>
    </row>
    <row r="879" spans="3:6" ht="12.5">
      <c r="C879" s="84"/>
      <c r="D879" s="84"/>
      <c r="E879" s="84"/>
      <c r="F879" s="84"/>
    </row>
    <row r="880" spans="3:6" ht="12.5">
      <c r="C880" s="84"/>
      <c r="D880" s="84"/>
      <c r="E880" s="84"/>
      <c r="F880" s="84"/>
    </row>
    <row r="881" spans="3:6" ht="12.5">
      <c r="C881" s="84"/>
      <c r="D881" s="84"/>
      <c r="E881" s="84"/>
      <c r="F881" s="84"/>
    </row>
    <row r="882" spans="3:6" ht="12.5">
      <c r="C882" s="84"/>
      <c r="D882" s="84"/>
      <c r="E882" s="84"/>
      <c r="F882" s="84"/>
    </row>
    <row r="883" spans="3:6" ht="12.5">
      <c r="C883" s="84"/>
      <c r="D883" s="84"/>
      <c r="E883" s="84"/>
      <c r="F883" s="84"/>
    </row>
    <row r="884" spans="3:6" ht="12.5">
      <c r="C884" s="84"/>
      <c r="D884" s="84"/>
      <c r="E884" s="84"/>
      <c r="F884" s="84"/>
    </row>
    <row r="885" spans="3:6" ht="12.5">
      <c r="C885" s="84"/>
      <c r="D885" s="84"/>
      <c r="E885" s="84"/>
      <c r="F885" s="84"/>
    </row>
    <row r="886" spans="3:6" ht="12.5">
      <c r="C886" s="84"/>
      <c r="D886" s="84"/>
      <c r="E886" s="84"/>
      <c r="F886" s="84"/>
    </row>
    <row r="887" spans="3:6" ht="12.5">
      <c r="C887" s="84"/>
      <c r="D887" s="84"/>
      <c r="E887" s="84"/>
      <c r="F887" s="84"/>
    </row>
    <row r="888" spans="3:6" ht="12.5">
      <c r="C888" s="84"/>
      <c r="D888" s="84"/>
      <c r="E888" s="84"/>
      <c r="F888" s="84"/>
    </row>
    <row r="889" spans="3:6" ht="12.5">
      <c r="C889" s="84"/>
      <c r="D889" s="84"/>
      <c r="E889" s="84"/>
      <c r="F889" s="84"/>
    </row>
    <row r="890" spans="3:6" ht="12.5">
      <c r="C890" s="84"/>
      <c r="D890" s="84"/>
      <c r="E890" s="84"/>
      <c r="F890" s="84"/>
    </row>
    <row r="891" spans="3:6" ht="12.5">
      <c r="C891" s="84"/>
      <c r="D891" s="84"/>
      <c r="E891" s="84"/>
      <c r="F891" s="84"/>
    </row>
    <row r="892" spans="3:6" ht="12.5">
      <c r="C892" s="84"/>
      <c r="D892" s="84"/>
      <c r="E892" s="84"/>
      <c r="F892" s="84"/>
    </row>
    <row r="893" spans="3:6" ht="12.5">
      <c r="C893" s="84"/>
      <c r="D893" s="84"/>
      <c r="E893" s="84"/>
      <c r="F893" s="84"/>
    </row>
    <row r="894" spans="3:6" ht="12.5">
      <c r="C894" s="84"/>
      <c r="D894" s="84"/>
      <c r="E894" s="84"/>
      <c r="F894" s="84"/>
    </row>
    <row r="895" spans="3:6" ht="12.5">
      <c r="C895" s="84"/>
      <c r="D895" s="84"/>
      <c r="E895" s="84"/>
      <c r="F895" s="84"/>
    </row>
    <row r="896" spans="3:6" ht="12.5">
      <c r="C896" s="84"/>
      <c r="D896" s="84"/>
      <c r="E896" s="84"/>
      <c r="F896" s="84"/>
    </row>
    <row r="897" spans="3:6" ht="12.5">
      <c r="C897" s="84"/>
      <c r="D897" s="84"/>
      <c r="E897" s="84"/>
      <c r="F897" s="84"/>
    </row>
    <row r="898" spans="3:6" ht="12.5">
      <c r="C898" s="84"/>
      <c r="D898" s="84"/>
      <c r="E898" s="84"/>
      <c r="F898" s="84"/>
    </row>
    <row r="899" spans="3:6" ht="12.5">
      <c r="C899" s="84"/>
      <c r="D899" s="84"/>
      <c r="E899" s="84"/>
      <c r="F899" s="84"/>
    </row>
    <row r="900" spans="3:6" ht="12.5">
      <c r="C900" s="84"/>
      <c r="D900" s="84"/>
      <c r="E900" s="84"/>
      <c r="F900" s="84"/>
    </row>
    <row r="901" spans="3:6" ht="12.5">
      <c r="C901" s="84"/>
      <c r="D901" s="84"/>
      <c r="E901" s="84"/>
      <c r="F901" s="84"/>
    </row>
    <row r="902" spans="3:6" ht="12.5">
      <c r="C902" s="84"/>
      <c r="D902" s="84"/>
      <c r="E902" s="84"/>
      <c r="F902" s="84"/>
    </row>
    <row r="903" spans="3:6" ht="12.5">
      <c r="C903" s="84"/>
      <c r="D903" s="84"/>
      <c r="E903" s="84"/>
      <c r="F903" s="84"/>
    </row>
    <row r="904" spans="3:6" ht="12.5">
      <c r="C904" s="84"/>
      <c r="D904" s="84"/>
      <c r="E904" s="84"/>
      <c r="F904" s="84"/>
    </row>
    <row r="905" spans="3:6" ht="12.5">
      <c r="C905" s="84"/>
      <c r="D905" s="84"/>
      <c r="E905" s="84"/>
      <c r="F905" s="84"/>
    </row>
    <row r="906" spans="3:6" ht="12.5">
      <c r="C906" s="84"/>
      <c r="D906" s="84"/>
      <c r="E906" s="84"/>
      <c r="F906" s="84"/>
    </row>
    <row r="907" spans="3:6" ht="12.5">
      <c r="C907" s="84"/>
      <c r="D907" s="84"/>
      <c r="E907" s="84"/>
      <c r="F907" s="84"/>
    </row>
    <row r="908" spans="3:6" ht="12.5">
      <c r="C908" s="84"/>
      <c r="D908" s="84"/>
      <c r="E908" s="84"/>
      <c r="F908" s="84"/>
    </row>
    <row r="909" spans="3:6" ht="12.5">
      <c r="C909" s="84"/>
      <c r="D909" s="84"/>
      <c r="E909" s="84"/>
      <c r="F909" s="84"/>
    </row>
    <row r="910" spans="3:6" ht="12.5">
      <c r="C910" s="84"/>
      <c r="D910" s="84"/>
      <c r="E910" s="84"/>
      <c r="F910" s="84"/>
    </row>
    <row r="911" spans="3:6" ht="12.5">
      <c r="C911" s="84"/>
      <c r="D911" s="84"/>
      <c r="E911" s="84"/>
      <c r="F911" s="84"/>
    </row>
    <row r="912" spans="3:6" ht="12.5">
      <c r="C912" s="84"/>
      <c r="D912" s="84"/>
      <c r="E912" s="84"/>
      <c r="F912" s="84"/>
    </row>
    <row r="913" spans="3:6" ht="12.5">
      <c r="C913" s="84"/>
      <c r="D913" s="84"/>
      <c r="E913" s="84"/>
      <c r="F913" s="84"/>
    </row>
    <row r="914" spans="3:6" ht="12.5">
      <c r="C914" s="84"/>
      <c r="D914" s="84"/>
      <c r="E914" s="84"/>
      <c r="F914" s="84"/>
    </row>
    <row r="915" spans="3:6" ht="12.5">
      <c r="C915" s="84"/>
      <c r="D915" s="84"/>
      <c r="E915" s="84"/>
      <c r="F915" s="84"/>
    </row>
    <row r="916" spans="3:6" ht="12.5">
      <c r="C916" s="84"/>
      <c r="D916" s="84"/>
      <c r="E916" s="84"/>
      <c r="F916" s="84"/>
    </row>
    <row r="917" spans="3:6" ht="12.5">
      <c r="C917" s="84"/>
      <c r="D917" s="84"/>
      <c r="E917" s="84"/>
      <c r="F917" s="84"/>
    </row>
    <row r="918" spans="3:6" ht="12.5">
      <c r="C918" s="84"/>
      <c r="D918" s="84"/>
      <c r="E918" s="84"/>
      <c r="F918" s="84"/>
    </row>
    <row r="919" spans="3:6" ht="12.5">
      <c r="C919" s="84"/>
      <c r="D919" s="84"/>
      <c r="E919" s="84"/>
      <c r="F919" s="84"/>
    </row>
    <row r="920" spans="3:6" ht="12.5">
      <c r="C920" s="84"/>
      <c r="D920" s="84"/>
      <c r="E920" s="84"/>
      <c r="F920" s="84"/>
    </row>
    <row r="921" spans="3:6" ht="12.5">
      <c r="C921" s="84"/>
      <c r="D921" s="84"/>
      <c r="E921" s="84"/>
      <c r="F921" s="84"/>
    </row>
    <row r="922" spans="3:6" ht="12.5">
      <c r="C922" s="84"/>
      <c r="D922" s="84"/>
      <c r="E922" s="84"/>
      <c r="F922" s="84"/>
    </row>
    <row r="923" spans="3:6" ht="12.5">
      <c r="C923" s="84"/>
      <c r="D923" s="84"/>
      <c r="E923" s="84"/>
      <c r="F923" s="84"/>
    </row>
    <row r="924" spans="3:6" ht="12.5">
      <c r="C924" s="84"/>
      <c r="D924" s="84"/>
      <c r="E924" s="84"/>
      <c r="F924" s="84"/>
    </row>
    <row r="925" spans="3:6" ht="12.5">
      <c r="C925" s="84"/>
      <c r="D925" s="84"/>
      <c r="E925" s="84"/>
      <c r="F925" s="84"/>
    </row>
    <row r="926" spans="3:6" ht="12.5">
      <c r="C926" s="84"/>
      <c r="D926" s="84"/>
      <c r="E926" s="84"/>
      <c r="F926" s="84"/>
    </row>
    <row r="927" spans="3:6" ht="12.5">
      <c r="C927" s="84"/>
      <c r="D927" s="84"/>
      <c r="E927" s="84"/>
      <c r="F927" s="84"/>
    </row>
    <row r="928" spans="3:6" ht="12.5">
      <c r="C928" s="84"/>
      <c r="D928" s="84"/>
      <c r="E928" s="84"/>
      <c r="F928" s="84"/>
    </row>
    <row r="929" spans="3:6" ht="12.5">
      <c r="C929" s="84"/>
      <c r="D929" s="84"/>
      <c r="E929" s="84"/>
      <c r="F929" s="84"/>
    </row>
    <row r="930" spans="3:6" ht="12.5">
      <c r="C930" s="84"/>
      <c r="D930" s="84"/>
      <c r="E930" s="84"/>
      <c r="F930" s="84"/>
    </row>
    <row r="931" spans="3:6" ht="12.5">
      <c r="C931" s="84"/>
      <c r="D931" s="84"/>
      <c r="E931" s="84"/>
      <c r="F931" s="84"/>
    </row>
    <row r="932" spans="3:6" ht="12.5">
      <c r="C932" s="84"/>
      <c r="D932" s="84"/>
      <c r="E932" s="84"/>
      <c r="F932" s="84"/>
    </row>
    <row r="933" spans="3:6" ht="12.5">
      <c r="C933" s="84"/>
      <c r="D933" s="84"/>
      <c r="E933" s="84"/>
      <c r="F933" s="84"/>
    </row>
    <row r="934" spans="3:6" ht="12.5">
      <c r="C934" s="84"/>
      <c r="D934" s="84"/>
      <c r="E934" s="84"/>
      <c r="F934" s="84"/>
    </row>
    <row r="935" spans="3:6" ht="12.5">
      <c r="C935" s="84"/>
      <c r="D935" s="84"/>
      <c r="E935" s="84"/>
      <c r="F935" s="84"/>
    </row>
    <row r="936" spans="3:6" ht="12.5">
      <c r="C936" s="84"/>
      <c r="D936" s="84"/>
      <c r="E936" s="84"/>
      <c r="F936" s="84"/>
    </row>
    <row r="937" spans="3:6" ht="12.5">
      <c r="C937" s="84"/>
      <c r="D937" s="84"/>
      <c r="E937" s="84"/>
      <c r="F937" s="84"/>
    </row>
    <row r="938" spans="3:6" ht="12.5">
      <c r="C938" s="84"/>
      <c r="D938" s="84"/>
      <c r="E938" s="84"/>
      <c r="F938" s="84"/>
    </row>
    <row r="939" spans="3:6" ht="12.5">
      <c r="C939" s="84"/>
      <c r="D939" s="84"/>
      <c r="E939" s="84"/>
      <c r="F939" s="84"/>
    </row>
    <row r="940" spans="3:6" ht="12.5">
      <c r="C940" s="84"/>
      <c r="D940" s="84"/>
      <c r="E940" s="84"/>
      <c r="F940" s="84"/>
    </row>
    <row r="941" spans="3:6" ht="12.5">
      <c r="C941" s="84"/>
      <c r="D941" s="84"/>
      <c r="E941" s="84"/>
      <c r="F941" s="84"/>
    </row>
    <row r="942" spans="3:6" ht="12.5">
      <c r="C942" s="84"/>
      <c r="D942" s="84"/>
      <c r="E942" s="84"/>
      <c r="F942" s="84"/>
    </row>
    <row r="943" spans="3:6" ht="12.5">
      <c r="C943" s="84"/>
      <c r="D943" s="84"/>
      <c r="E943" s="84"/>
      <c r="F943" s="84"/>
    </row>
    <row r="944" spans="3:6" ht="12.5">
      <c r="C944" s="84"/>
      <c r="D944" s="84"/>
      <c r="E944" s="84"/>
      <c r="F944" s="84"/>
    </row>
    <row r="945" spans="3:6" ht="12.5">
      <c r="C945" s="84"/>
      <c r="D945" s="84"/>
      <c r="E945" s="84"/>
      <c r="F945" s="84"/>
    </row>
    <row r="946" spans="3:6" ht="12.5">
      <c r="C946" s="84"/>
      <c r="D946" s="84"/>
      <c r="E946" s="84"/>
      <c r="F946" s="84"/>
    </row>
    <row r="947" spans="3:6" ht="12.5">
      <c r="C947" s="84"/>
      <c r="D947" s="84"/>
      <c r="E947" s="84"/>
      <c r="F947" s="84"/>
    </row>
    <row r="948" spans="3:6" ht="12.5">
      <c r="C948" s="84"/>
      <c r="D948" s="84"/>
      <c r="E948" s="84"/>
      <c r="F948" s="84"/>
    </row>
    <row r="949" spans="3:6" ht="12.5">
      <c r="C949" s="84"/>
      <c r="D949" s="84"/>
      <c r="E949" s="84"/>
      <c r="F949" s="84"/>
    </row>
    <row r="950" spans="3:6" ht="12.5">
      <c r="C950" s="84"/>
      <c r="D950" s="84"/>
      <c r="E950" s="84"/>
      <c r="F950" s="84"/>
    </row>
    <row r="951" spans="3:6" ht="12.5">
      <c r="C951" s="84"/>
      <c r="D951" s="84"/>
      <c r="E951" s="84"/>
      <c r="F951" s="84"/>
    </row>
    <row r="952" spans="3:6" ht="12.5">
      <c r="C952" s="84"/>
      <c r="D952" s="84"/>
      <c r="E952" s="84"/>
      <c r="F952" s="84"/>
    </row>
    <row r="953" spans="3:6" ht="12.5">
      <c r="C953" s="84"/>
      <c r="D953" s="84"/>
      <c r="E953" s="84"/>
      <c r="F953" s="84"/>
    </row>
    <row r="954" spans="3:6" ht="12.5">
      <c r="C954" s="84"/>
      <c r="D954" s="84"/>
      <c r="E954" s="84"/>
      <c r="F954" s="84"/>
    </row>
    <row r="955" spans="3:6" ht="12.5">
      <c r="C955" s="84"/>
      <c r="D955" s="84"/>
      <c r="E955" s="84"/>
      <c r="F955" s="84"/>
    </row>
    <row r="956" spans="3:6" ht="12.5">
      <c r="C956" s="84"/>
      <c r="D956" s="84"/>
      <c r="E956" s="84"/>
      <c r="F956" s="84"/>
    </row>
    <row r="957" spans="3:6" ht="12.5">
      <c r="C957" s="84"/>
      <c r="D957" s="84"/>
      <c r="E957" s="84"/>
      <c r="F957" s="84"/>
    </row>
    <row r="958" spans="3:6" ht="12.5">
      <c r="C958" s="84"/>
      <c r="D958" s="84"/>
      <c r="E958" s="84"/>
      <c r="F958" s="84"/>
    </row>
    <row r="959" spans="3:6" ht="12.5">
      <c r="C959" s="84"/>
      <c r="D959" s="84"/>
      <c r="E959" s="84"/>
      <c r="F959" s="84"/>
    </row>
    <row r="960" spans="3:6" ht="12.5">
      <c r="C960" s="84"/>
      <c r="D960" s="84"/>
      <c r="E960" s="84"/>
      <c r="F960" s="84"/>
    </row>
    <row r="961" spans="3:6" ht="12.5">
      <c r="C961" s="84"/>
      <c r="D961" s="84"/>
      <c r="E961" s="84"/>
      <c r="F961" s="84"/>
    </row>
    <row r="962" spans="3:6" ht="12.5">
      <c r="C962" s="84"/>
      <c r="D962" s="84"/>
      <c r="E962" s="84"/>
      <c r="F962" s="84"/>
    </row>
    <row r="963" spans="3:6" ht="12.5">
      <c r="C963" s="84"/>
      <c r="D963" s="84"/>
      <c r="E963" s="84"/>
      <c r="F963" s="84"/>
    </row>
    <row r="964" spans="3:6" ht="12.5">
      <c r="C964" s="84"/>
      <c r="D964" s="84"/>
      <c r="E964" s="84"/>
      <c r="F964" s="84"/>
    </row>
    <row r="965" spans="3:6" ht="12.5">
      <c r="C965" s="84"/>
      <c r="D965" s="84"/>
      <c r="E965" s="84"/>
      <c r="F965" s="84"/>
    </row>
    <row r="966" spans="3:6" ht="12.5">
      <c r="C966" s="84"/>
      <c r="D966" s="84"/>
      <c r="E966" s="84"/>
      <c r="F966" s="84"/>
    </row>
    <row r="967" spans="3:6" ht="12.5">
      <c r="C967" s="84"/>
      <c r="D967" s="84"/>
      <c r="E967" s="84"/>
      <c r="F967" s="84"/>
    </row>
    <row r="968" spans="3:6" ht="12.5">
      <c r="C968" s="84"/>
      <c r="D968" s="84"/>
      <c r="E968" s="84"/>
      <c r="F968" s="84"/>
    </row>
    <row r="969" spans="3:6" ht="12.5">
      <c r="C969" s="84"/>
      <c r="D969" s="84"/>
      <c r="E969" s="84"/>
      <c r="F969" s="84"/>
    </row>
    <row r="970" spans="3:6" ht="12.5">
      <c r="C970" s="84"/>
      <c r="D970" s="84"/>
      <c r="E970" s="84"/>
      <c r="F970" s="84"/>
    </row>
    <row r="971" spans="3:6" ht="12.5">
      <c r="C971" s="84"/>
      <c r="D971" s="84"/>
      <c r="E971" s="84"/>
      <c r="F971" s="84"/>
    </row>
    <row r="972" spans="3:6" ht="12.5">
      <c r="C972" s="84"/>
      <c r="D972" s="84"/>
      <c r="E972" s="84"/>
      <c r="F972" s="84"/>
    </row>
    <row r="973" spans="3:6" ht="12.5">
      <c r="C973" s="84"/>
      <c r="D973" s="84"/>
      <c r="E973" s="84"/>
      <c r="F973" s="84"/>
    </row>
    <row r="974" spans="3:6" ht="12.5">
      <c r="C974" s="84"/>
      <c r="D974" s="84"/>
      <c r="E974" s="84"/>
      <c r="F974" s="84"/>
    </row>
    <row r="975" spans="3:6" ht="12.5">
      <c r="C975" s="84"/>
      <c r="D975" s="84"/>
      <c r="E975" s="84"/>
      <c r="F975" s="84"/>
    </row>
    <row r="976" spans="3:6" ht="12.5">
      <c r="C976" s="84"/>
      <c r="D976" s="84"/>
      <c r="E976" s="84"/>
      <c r="F976" s="84"/>
    </row>
    <row r="977" spans="3:6" ht="12.5">
      <c r="C977" s="84"/>
      <c r="D977" s="84"/>
      <c r="E977" s="84"/>
      <c r="F977" s="84"/>
    </row>
    <row r="978" spans="3:6" ht="12.5">
      <c r="C978" s="84"/>
      <c r="D978" s="84"/>
      <c r="E978" s="84"/>
      <c r="F978" s="84"/>
    </row>
    <row r="979" spans="3:6" ht="12.5">
      <c r="C979" s="84"/>
      <c r="D979" s="84"/>
      <c r="E979" s="84"/>
      <c r="F979" s="84"/>
    </row>
    <row r="980" spans="3:6" ht="12.5">
      <c r="C980" s="84"/>
      <c r="D980" s="84"/>
      <c r="E980" s="84"/>
      <c r="F980" s="84"/>
    </row>
    <row r="981" spans="3:6" ht="12.5">
      <c r="C981" s="84"/>
      <c r="D981" s="84"/>
      <c r="E981" s="84"/>
      <c r="F981" s="84"/>
    </row>
    <row r="982" spans="3:6" ht="12.5">
      <c r="C982" s="84"/>
      <c r="D982" s="84"/>
      <c r="E982" s="84"/>
      <c r="F982" s="84"/>
    </row>
    <row r="983" spans="3:6" ht="12.5">
      <c r="C983" s="84"/>
      <c r="D983" s="84"/>
      <c r="E983" s="84"/>
      <c r="F983" s="84"/>
    </row>
    <row r="984" spans="3:6" ht="12.5">
      <c r="C984" s="84"/>
      <c r="D984" s="84"/>
      <c r="E984" s="84"/>
      <c r="F984" s="84"/>
    </row>
    <row r="985" spans="3:6" ht="12.5">
      <c r="C985" s="84"/>
      <c r="D985" s="84"/>
      <c r="E985" s="84"/>
      <c r="F985" s="84"/>
    </row>
    <row r="986" spans="3:6" ht="12.5">
      <c r="C986" s="84"/>
      <c r="D986" s="84"/>
      <c r="E986" s="84"/>
      <c r="F986" s="84"/>
    </row>
    <row r="987" spans="3:6" ht="12.5">
      <c r="C987" s="84"/>
      <c r="D987" s="84"/>
      <c r="E987" s="84"/>
      <c r="F987" s="84"/>
    </row>
    <row r="988" spans="3:6" ht="12.5">
      <c r="C988" s="84"/>
      <c r="D988" s="84"/>
      <c r="E988" s="84"/>
      <c r="F988" s="84"/>
    </row>
    <row r="989" spans="3:6" ht="12.5">
      <c r="C989" s="84"/>
      <c r="D989" s="84"/>
      <c r="E989" s="84"/>
      <c r="F989" s="84"/>
    </row>
    <row r="990" spans="3:6" ht="12.5">
      <c r="C990" s="84"/>
      <c r="D990" s="84"/>
      <c r="E990" s="84"/>
      <c r="F990" s="84"/>
    </row>
    <row r="991" spans="3:6" ht="12.5">
      <c r="C991" s="84"/>
      <c r="D991" s="84"/>
      <c r="E991" s="84"/>
      <c r="F991" s="84"/>
    </row>
    <row r="992" spans="3:6" ht="12.5">
      <c r="C992" s="84"/>
      <c r="D992" s="84"/>
      <c r="E992" s="84"/>
      <c r="F992" s="84"/>
    </row>
    <row r="993" spans="3:6" ht="12.5">
      <c r="C993" s="84"/>
      <c r="D993" s="84"/>
      <c r="E993" s="84"/>
      <c r="F993" s="84"/>
    </row>
    <row r="994" spans="3:6" ht="12.5">
      <c r="C994" s="84"/>
      <c r="D994" s="84"/>
      <c r="E994" s="84"/>
      <c r="F994" s="84"/>
    </row>
    <row r="995" spans="3:6" ht="12.5">
      <c r="C995" s="84"/>
      <c r="D995" s="84"/>
      <c r="E995" s="84"/>
      <c r="F995" s="84"/>
    </row>
    <row r="996" spans="3:6" ht="12.5">
      <c r="C996" s="84"/>
      <c r="D996" s="84"/>
      <c r="E996" s="84"/>
      <c r="F996" s="84"/>
    </row>
    <row r="997" spans="3:6" ht="12.5">
      <c r="C997" s="84"/>
      <c r="D997" s="84"/>
      <c r="E997" s="84"/>
      <c r="F997" s="84"/>
    </row>
    <row r="998" spans="3:6" ht="12.5">
      <c r="C998" s="84"/>
      <c r="D998" s="84"/>
      <c r="E998" s="84"/>
      <c r="F998" s="84"/>
    </row>
    <row r="999" spans="3:6" ht="12.5">
      <c r="C999" s="84"/>
      <c r="D999" s="84"/>
      <c r="E999" s="84"/>
      <c r="F999" s="84"/>
    </row>
    <row r="1000" spans="3:6" ht="12.5">
      <c r="C1000" s="84"/>
      <c r="D1000" s="84"/>
      <c r="E1000" s="84"/>
      <c r="F1000" s="84"/>
    </row>
  </sheetData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34"/>
  <sheetViews>
    <sheetView workbookViewId="0"/>
  </sheetViews>
  <sheetFormatPr defaultColWidth="12.54296875" defaultRowHeight="15.75" customHeight="1"/>
  <cols>
    <col min="1" max="1" width="3.453125" customWidth="1"/>
    <col min="2" max="2" width="6.453125" customWidth="1"/>
    <col min="3" max="11" width="14" customWidth="1"/>
    <col min="13" max="13" width="13.54296875" customWidth="1"/>
  </cols>
  <sheetData>
    <row r="1" spans="1:11" ht="13">
      <c r="B1" s="85"/>
      <c r="C1" s="86" t="s">
        <v>4622</v>
      </c>
      <c r="D1" s="86" t="s">
        <v>4623</v>
      </c>
      <c r="E1" s="86" t="s">
        <v>4624</v>
      </c>
      <c r="F1" s="86" t="s">
        <v>4625</v>
      </c>
      <c r="G1" s="86" t="s">
        <v>4626</v>
      </c>
      <c r="H1" s="86" t="s">
        <v>4627</v>
      </c>
      <c r="K1" s="86" t="s">
        <v>4628</v>
      </c>
    </row>
    <row r="2" spans="1:11" ht="15.75" customHeight="1">
      <c r="A2" s="20"/>
      <c r="B2" s="85" t="s">
        <v>4629</v>
      </c>
      <c r="C2" s="87">
        <v>968</v>
      </c>
      <c r="D2" s="87">
        <v>3.45</v>
      </c>
      <c r="E2" s="88">
        <f>C2*K4/1000000</f>
        <v>3.2911999999999999</v>
      </c>
      <c r="F2" s="89">
        <v>613000</v>
      </c>
      <c r="G2" s="90">
        <f t="shared" ref="G2:G3" si="0">F2/D2</f>
        <v>177681.15942028986</v>
      </c>
      <c r="H2" s="90">
        <f t="shared" ref="H2:H3" si="1">F2/E2</f>
        <v>186254.25376762275</v>
      </c>
      <c r="J2" s="85" t="s">
        <v>4630</v>
      </c>
      <c r="K2" s="87">
        <v>42</v>
      </c>
    </row>
    <row r="3" spans="1:11" ht="13">
      <c r="A3" s="20"/>
      <c r="B3" s="85" t="s">
        <v>435</v>
      </c>
      <c r="C3" s="91">
        <v>560</v>
      </c>
      <c r="D3" s="87">
        <v>2</v>
      </c>
      <c r="E3" s="88">
        <f>C3*K4/1000000</f>
        <v>1.9039999999999999</v>
      </c>
      <c r="F3" s="92">
        <v>315000</v>
      </c>
      <c r="G3" s="90">
        <f t="shared" si="0"/>
        <v>157500</v>
      </c>
      <c r="H3" s="90">
        <f t="shared" si="1"/>
        <v>165441.17647058825</v>
      </c>
      <c r="J3" s="85"/>
      <c r="K3" s="86" t="s">
        <v>4631</v>
      </c>
    </row>
    <row r="4" spans="1:11" ht="15.75" customHeight="1">
      <c r="B4" s="85"/>
      <c r="J4" s="85" t="s">
        <v>4632</v>
      </c>
      <c r="K4" s="91">
        <v>3400</v>
      </c>
    </row>
    <row r="5" spans="1:11" ht="15.75" customHeight="1">
      <c r="B5" s="85"/>
    </row>
    <row r="6" spans="1:11" ht="13">
      <c r="B6" s="85"/>
      <c r="G6" s="259" t="s">
        <v>4633</v>
      </c>
      <c r="H6" s="258"/>
    </row>
    <row r="7" spans="1:11" ht="13">
      <c r="A7" s="17" t="s">
        <v>15</v>
      </c>
      <c r="B7" s="85"/>
      <c r="C7" s="86" t="s">
        <v>4634</v>
      </c>
      <c r="D7" s="86" t="s">
        <v>4635</v>
      </c>
      <c r="E7" s="86" t="s">
        <v>4636</v>
      </c>
      <c r="G7" s="86" t="s">
        <v>4637</v>
      </c>
      <c r="H7" s="86" t="s">
        <v>4628</v>
      </c>
      <c r="J7" s="86" t="s">
        <v>4638</v>
      </c>
      <c r="K7" s="86" t="s">
        <v>4639</v>
      </c>
    </row>
    <row r="8" spans="1:11" ht="15.75" customHeight="1">
      <c r="B8" s="85" t="s">
        <v>4629</v>
      </c>
      <c r="C8" s="91">
        <v>0</v>
      </c>
      <c r="D8" s="20">
        <f>C8*$C$2</f>
        <v>0</v>
      </c>
      <c r="E8" s="88">
        <f>$E$2*C8</f>
        <v>0</v>
      </c>
      <c r="G8" s="20">
        <f>C8*$D$2</f>
        <v>0</v>
      </c>
      <c r="H8" s="88">
        <f>E8</f>
        <v>0</v>
      </c>
      <c r="J8" s="93">
        <f>C8*$F$2</f>
        <v>0</v>
      </c>
      <c r="K8" s="24" t="e">
        <f t="shared" ref="K8:K10" si="2">J8/D14</f>
        <v>#DIV/0!</v>
      </c>
    </row>
    <row r="9" spans="1:11" ht="15.75" customHeight="1">
      <c r="B9" s="85" t="s">
        <v>435</v>
      </c>
      <c r="C9" s="91">
        <v>21</v>
      </c>
      <c r="D9" s="20">
        <f>C9*$C$3</f>
        <v>11760</v>
      </c>
      <c r="E9" s="88">
        <f>$E$3*C9</f>
        <v>39.983999999999995</v>
      </c>
      <c r="G9" s="20">
        <f>C9*$D$3</f>
        <v>42</v>
      </c>
      <c r="H9" s="94">
        <f>K2-E8</f>
        <v>42</v>
      </c>
      <c r="J9" s="95">
        <f>C9*$F$3</f>
        <v>6615000</v>
      </c>
      <c r="K9" s="96">
        <f t="shared" si="2"/>
        <v>562.50000000000011</v>
      </c>
    </row>
    <row r="10" spans="1:11" ht="15.75" customHeight="1">
      <c r="B10" s="85" t="s">
        <v>25</v>
      </c>
      <c r="C10" s="75">
        <f t="shared" ref="C10:D10" si="3">C9+C8</f>
        <v>21</v>
      </c>
      <c r="D10" s="75">
        <f t="shared" si="3"/>
        <v>11760</v>
      </c>
      <c r="E10" s="97">
        <f>SUM(E8:E9)</f>
        <v>39.983999999999995</v>
      </c>
      <c r="G10" s="75">
        <f t="shared" ref="G10:H10" si="4">G9+G8</f>
        <v>42</v>
      </c>
      <c r="H10" s="88">
        <f t="shared" si="4"/>
        <v>42</v>
      </c>
      <c r="J10" s="93">
        <f>J9+J8</f>
        <v>6615000</v>
      </c>
      <c r="K10" s="24">
        <f t="shared" si="2"/>
        <v>562.50000000000011</v>
      </c>
    </row>
    <row r="11" spans="1:11" ht="15.75" customHeight="1">
      <c r="B11" s="85"/>
      <c r="E11" s="88"/>
      <c r="J11" s="93"/>
    </row>
    <row r="12" spans="1:11" ht="13">
      <c r="B12" s="85"/>
      <c r="C12" s="17"/>
      <c r="E12" s="88"/>
      <c r="G12" s="260" t="s">
        <v>4640</v>
      </c>
      <c r="H12" s="258"/>
      <c r="J12" s="98"/>
    </row>
    <row r="13" spans="1:11" ht="13">
      <c r="B13" s="85"/>
      <c r="C13" s="86" t="s">
        <v>4641</v>
      </c>
      <c r="D13" s="86" t="s">
        <v>4642</v>
      </c>
      <c r="G13" s="86" t="s">
        <v>28</v>
      </c>
      <c r="H13" s="86" t="s">
        <v>4628</v>
      </c>
    </row>
    <row r="14" spans="1:11" ht="15.75" customHeight="1">
      <c r="B14" s="85" t="s">
        <v>4629</v>
      </c>
      <c r="C14" s="88">
        <f t="shared" ref="C14:C16" si="5">MIN(E8,G8,H8)</f>
        <v>0</v>
      </c>
      <c r="D14" s="99">
        <f t="shared" ref="D14:D15" si="6">C14*1000000/$K$4</f>
        <v>0</v>
      </c>
      <c r="G14" s="99">
        <f t="shared" ref="G14:G16" si="7">D8-D14</f>
        <v>0</v>
      </c>
      <c r="J14" s="88"/>
    </row>
    <row r="15" spans="1:11" ht="15.75" customHeight="1">
      <c r="B15" s="85" t="s">
        <v>435</v>
      </c>
      <c r="C15" s="88">
        <f t="shared" si="5"/>
        <v>39.983999999999995</v>
      </c>
      <c r="D15" s="99">
        <f t="shared" si="6"/>
        <v>11759.999999999998</v>
      </c>
      <c r="G15" s="99">
        <f t="shared" si="7"/>
        <v>0</v>
      </c>
      <c r="J15" s="88"/>
    </row>
    <row r="16" spans="1:11" ht="15.75" customHeight="1">
      <c r="B16" s="85" t="s">
        <v>25</v>
      </c>
      <c r="C16" s="97">
        <f t="shared" si="5"/>
        <v>39.983999999999995</v>
      </c>
      <c r="D16" s="100">
        <f>D14+D15</f>
        <v>11759.999999999998</v>
      </c>
      <c r="G16" s="100">
        <f t="shared" si="7"/>
        <v>0</v>
      </c>
      <c r="H16" s="100">
        <f>K2*1000000/K4-D16</f>
        <v>592.9411764705892</v>
      </c>
      <c r="J16" s="88"/>
    </row>
    <row r="17" spans="1:11" ht="15.75" customHeight="1">
      <c r="B17" s="85"/>
      <c r="E17" s="88"/>
      <c r="J17" s="93"/>
    </row>
    <row r="18" spans="1:11" ht="13">
      <c r="B18" s="85"/>
      <c r="E18" s="88"/>
      <c r="G18" s="259" t="s">
        <v>4633</v>
      </c>
      <c r="H18" s="258"/>
      <c r="J18" s="93"/>
    </row>
    <row r="19" spans="1:11" ht="13">
      <c r="A19" s="17" t="s">
        <v>17</v>
      </c>
      <c r="B19" s="85"/>
      <c r="C19" s="86" t="s">
        <v>4634</v>
      </c>
      <c r="D19" s="86" t="s">
        <v>4635</v>
      </c>
      <c r="E19" s="101" t="s">
        <v>4636</v>
      </c>
      <c r="G19" s="86" t="s">
        <v>4637</v>
      </c>
      <c r="H19" s="86" t="s">
        <v>4643</v>
      </c>
      <c r="J19" s="102" t="s">
        <v>4638</v>
      </c>
      <c r="K19" s="86" t="s">
        <v>4639</v>
      </c>
    </row>
    <row r="20" spans="1:11" ht="15.75" customHeight="1">
      <c r="B20" s="85" t="s">
        <v>4629</v>
      </c>
      <c r="C20" s="91">
        <v>0</v>
      </c>
      <c r="D20" s="20">
        <f>C20*$C$2</f>
        <v>0</v>
      </c>
      <c r="E20" s="88">
        <f>$E$2*C20</f>
        <v>0</v>
      </c>
      <c r="G20" s="20">
        <f>C20*$D$2</f>
        <v>0</v>
      </c>
      <c r="H20" s="88">
        <f>E20</f>
        <v>0</v>
      </c>
      <c r="J20" s="93">
        <f>C20*$F$2</f>
        <v>0</v>
      </c>
      <c r="K20" s="24" t="e">
        <f t="shared" ref="K20:K22" si="8">J20/D26</f>
        <v>#DIV/0!</v>
      </c>
    </row>
    <row r="21" spans="1:11" ht="15.75" customHeight="1">
      <c r="B21" s="85" t="s">
        <v>435</v>
      </c>
      <c r="C21" s="91">
        <v>22</v>
      </c>
      <c r="D21" s="20">
        <f>C21*$C$3</f>
        <v>12320</v>
      </c>
      <c r="E21" s="88">
        <f>$E$3*C21</f>
        <v>41.887999999999998</v>
      </c>
      <c r="G21" s="20">
        <f>C21*$D$3</f>
        <v>44</v>
      </c>
      <c r="H21" s="94">
        <f>K2-E20</f>
        <v>42</v>
      </c>
      <c r="J21" s="95">
        <f>C21*$F$3</f>
        <v>6930000</v>
      </c>
      <c r="K21" s="96">
        <f t="shared" si="8"/>
        <v>562.5</v>
      </c>
    </row>
    <row r="22" spans="1:11" ht="15.75" customHeight="1">
      <c r="B22" s="85" t="s">
        <v>25</v>
      </c>
      <c r="C22" s="75">
        <f t="shared" ref="C22:D22" si="9">C21+C20</f>
        <v>22</v>
      </c>
      <c r="D22" s="75">
        <f t="shared" si="9"/>
        <v>12320</v>
      </c>
      <c r="E22" s="97">
        <f>SUM(E20:E21)</f>
        <v>41.887999999999998</v>
      </c>
      <c r="G22" s="75">
        <f t="shared" ref="G22:H22" si="10">G21+G20</f>
        <v>44</v>
      </c>
      <c r="H22" s="88">
        <f t="shared" si="10"/>
        <v>42</v>
      </c>
      <c r="J22" s="93">
        <f>J21+J20</f>
        <v>6930000</v>
      </c>
      <c r="K22" s="24">
        <f t="shared" si="8"/>
        <v>562.5</v>
      </c>
    </row>
    <row r="23" spans="1:11" ht="15.75" customHeight="1">
      <c r="B23" s="85"/>
      <c r="J23" s="93"/>
    </row>
    <row r="24" spans="1:11" ht="13">
      <c r="B24" s="85"/>
      <c r="C24" s="17"/>
      <c r="G24" s="260" t="s">
        <v>4640</v>
      </c>
      <c r="H24" s="258"/>
      <c r="J24" s="93"/>
    </row>
    <row r="25" spans="1:11" ht="13">
      <c r="B25" s="85"/>
      <c r="C25" s="86" t="s">
        <v>4641</v>
      </c>
      <c r="D25" s="86" t="s">
        <v>4642</v>
      </c>
      <c r="G25" s="86" t="s">
        <v>28</v>
      </c>
      <c r="H25" s="86" t="s">
        <v>4628</v>
      </c>
    </row>
    <row r="26" spans="1:11" ht="12.5">
      <c r="B26" s="85" t="s">
        <v>4629</v>
      </c>
      <c r="C26" s="88">
        <f t="shared" ref="C26:C28" si="11">MIN(E20,G20,H20)</f>
        <v>0</v>
      </c>
      <c r="D26" s="99">
        <f t="shared" ref="D26:D27" si="12">C26*1000000/$K$4</f>
        <v>0</v>
      </c>
      <c r="G26" s="99">
        <f t="shared" ref="G26:G28" si="13">D20-D26</f>
        <v>0</v>
      </c>
      <c r="H26" s="99"/>
    </row>
    <row r="27" spans="1:11" ht="13">
      <c r="B27" s="85" t="s">
        <v>435</v>
      </c>
      <c r="C27" s="88">
        <f t="shared" si="11"/>
        <v>41.887999999999998</v>
      </c>
      <c r="D27" s="99">
        <f t="shared" si="12"/>
        <v>12320</v>
      </c>
      <c r="F27" s="17"/>
      <c r="G27" s="99">
        <f t="shared" si="13"/>
        <v>0</v>
      </c>
      <c r="H27" s="99"/>
      <c r="I27" s="24"/>
    </row>
    <row r="28" spans="1:11" ht="12.5">
      <c r="B28" s="85" t="s">
        <v>25</v>
      </c>
      <c r="C28" s="97">
        <f t="shared" si="11"/>
        <v>41.887999999999998</v>
      </c>
      <c r="D28" s="100">
        <f>MIN(D26+D27,K2*1000000/K4)</f>
        <v>12320</v>
      </c>
      <c r="G28" s="100">
        <f t="shared" si="13"/>
        <v>0</v>
      </c>
      <c r="H28" s="100">
        <f>K2*1000000/K4-D28</f>
        <v>32.941176470587379</v>
      </c>
      <c r="J28" s="24"/>
    </row>
    <row r="29" spans="1:11" ht="12.5">
      <c r="I29" s="93"/>
      <c r="K29" s="93"/>
    </row>
    <row r="30" spans="1:11" ht="13">
      <c r="F30" s="103"/>
      <c r="H30" s="104" t="s">
        <v>4644</v>
      </c>
      <c r="I30" s="105" t="s">
        <v>4645</v>
      </c>
      <c r="J30" s="104" t="s">
        <v>4639</v>
      </c>
      <c r="K30" s="105" t="s">
        <v>4646</v>
      </c>
    </row>
    <row r="31" spans="1:11" ht="13">
      <c r="B31" s="17" t="s">
        <v>4647</v>
      </c>
      <c r="G31" s="85" t="s">
        <v>15</v>
      </c>
      <c r="H31" s="106">
        <f>J10</f>
        <v>6615000</v>
      </c>
      <c r="I31" s="100">
        <f>D16</f>
        <v>11759.999999999998</v>
      </c>
      <c r="J31" s="107">
        <f>K10</f>
        <v>562.50000000000011</v>
      </c>
      <c r="K31" s="107"/>
    </row>
    <row r="32" spans="1:11" ht="12.5">
      <c r="B32" s="20" t="s">
        <v>4648</v>
      </c>
      <c r="G32" s="85" t="s">
        <v>17</v>
      </c>
      <c r="H32" s="93">
        <f>J22</f>
        <v>6930000</v>
      </c>
      <c r="I32" s="99">
        <f>D28</f>
        <v>12320</v>
      </c>
      <c r="J32" s="24">
        <f>K22</f>
        <v>562.5</v>
      </c>
      <c r="K32" s="24"/>
    </row>
    <row r="33" spans="2:11" ht="12.5">
      <c r="B33" s="20" t="s">
        <v>4649</v>
      </c>
      <c r="G33" s="85" t="s">
        <v>4650</v>
      </c>
      <c r="H33" s="108">
        <f t="shared" ref="H33:J33" si="14">H31-H32</f>
        <v>-315000</v>
      </c>
      <c r="I33" s="109">
        <f t="shared" si="14"/>
        <v>-560.00000000000182</v>
      </c>
      <c r="J33" s="108">
        <f t="shared" si="14"/>
        <v>0</v>
      </c>
      <c r="K33" s="110">
        <f>H33/I33</f>
        <v>562.49999999999818</v>
      </c>
    </row>
    <row r="34" spans="2:11" ht="12.5">
      <c r="I34" s="93"/>
    </row>
  </sheetData>
  <mergeCells count="4">
    <mergeCell ref="G6:H6"/>
    <mergeCell ref="G12:H12"/>
    <mergeCell ref="G18:H18"/>
    <mergeCell ref="G24:H24"/>
  </mergeCell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2:C44"/>
  <sheetViews>
    <sheetView workbookViewId="0"/>
  </sheetViews>
  <sheetFormatPr defaultColWidth="12.54296875" defaultRowHeight="15.75" customHeight="1"/>
  <cols>
    <col min="1" max="1" width="3.453125" customWidth="1"/>
  </cols>
  <sheetData>
    <row r="2" spans="2:3" ht="13">
      <c r="B2" s="67" t="s">
        <v>28</v>
      </c>
      <c r="C2" s="68" t="s">
        <v>4651</v>
      </c>
    </row>
    <row r="3" spans="2:3" ht="15.75" customHeight="1">
      <c r="B3" s="69" t="s">
        <v>377</v>
      </c>
      <c r="C3" s="70" t="s">
        <v>4652</v>
      </c>
    </row>
    <row r="4" spans="2:3" ht="15.75" customHeight="1">
      <c r="B4" s="69" t="s">
        <v>361</v>
      </c>
      <c r="C4" s="70" t="s">
        <v>4652</v>
      </c>
    </row>
    <row r="5" spans="2:3" ht="15.75" customHeight="1">
      <c r="B5" s="69" t="s">
        <v>342</v>
      </c>
      <c r="C5" s="70" t="s">
        <v>4652</v>
      </c>
    </row>
    <row r="6" spans="2:3" ht="15.75" customHeight="1">
      <c r="B6" s="69" t="s">
        <v>364</v>
      </c>
      <c r="C6" s="70" t="s">
        <v>4652</v>
      </c>
    </row>
    <row r="7" spans="2:3" ht="15.75" customHeight="1">
      <c r="B7" s="69" t="s">
        <v>345</v>
      </c>
      <c r="C7" s="70" t="s">
        <v>4652</v>
      </c>
    </row>
    <row r="8" spans="2:3" ht="15.75" customHeight="1">
      <c r="B8" s="69" t="s">
        <v>325</v>
      </c>
      <c r="C8" s="70" t="s">
        <v>4652</v>
      </c>
    </row>
    <row r="9" spans="2:3" ht="15.75" customHeight="1">
      <c r="B9" s="69" t="s">
        <v>304</v>
      </c>
      <c r="C9" s="70" t="s">
        <v>4652</v>
      </c>
    </row>
    <row r="10" spans="2:3" ht="15.75" customHeight="1">
      <c r="B10" s="69" t="s">
        <v>327</v>
      </c>
      <c r="C10" s="70" t="s">
        <v>4652</v>
      </c>
    </row>
    <row r="11" spans="2:3" ht="15.75" customHeight="1">
      <c r="B11" s="69" t="s">
        <v>307</v>
      </c>
      <c r="C11" s="70" t="s">
        <v>4652</v>
      </c>
    </row>
    <row r="12" spans="2:3" ht="15.75" customHeight="1">
      <c r="B12" s="69" t="s">
        <v>284</v>
      </c>
      <c r="C12" s="70" t="s">
        <v>4652</v>
      </c>
    </row>
    <row r="13" spans="2:3" ht="15.75" customHeight="1">
      <c r="B13" s="69" t="s">
        <v>261</v>
      </c>
      <c r="C13" s="70" t="s">
        <v>4652</v>
      </c>
    </row>
    <row r="14" spans="2:3" ht="15.75" customHeight="1">
      <c r="B14" s="69" t="s">
        <v>288</v>
      </c>
      <c r="C14" s="70" t="s">
        <v>4652</v>
      </c>
    </row>
    <row r="15" spans="2:3" ht="15.75" customHeight="1">
      <c r="B15" s="69" t="s">
        <v>265</v>
      </c>
      <c r="C15" s="70" t="s">
        <v>4652</v>
      </c>
    </row>
    <row r="16" spans="2:3" ht="15.75" customHeight="1">
      <c r="B16" s="69" t="s">
        <v>241</v>
      </c>
      <c r="C16" s="70" t="s">
        <v>4652</v>
      </c>
    </row>
    <row r="17" spans="2:3" ht="15.75" customHeight="1">
      <c r="B17" s="69" t="s">
        <v>220</v>
      </c>
      <c r="C17" s="70" t="s">
        <v>4652</v>
      </c>
    </row>
    <row r="18" spans="2:3" ht="15.75" customHeight="1">
      <c r="B18" s="69" t="s">
        <v>200</v>
      </c>
      <c r="C18" s="70" t="s">
        <v>4652</v>
      </c>
    </row>
    <row r="19" spans="2:3" ht="15.75" customHeight="1">
      <c r="B19" s="69" t="s">
        <v>182</v>
      </c>
      <c r="C19" s="70" t="s">
        <v>4652</v>
      </c>
    </row>
    <row r="20" spans="2:3" ht="15.75" customHeight="1">
      <c r="B20" s="69" t="s">
        <v>374</v>
      </c>
      <c r="C20" s="70" t="s">
        <v>4653</v>
      </c>
    </row>
    <row r="21" spans="2:3" ht="15.75" customHeight="1">
      <c r="B21" s="69" t="s">
        <v>359</v>
      </c>
      <c r="C21" s="70" t="s">
        <v>4653</v>
      </c>
    </row>
    <row r="22" spans="2:3" ht="15.75" customHeight="1">
      <c r="B22" s="69" t="s">
        <v>340</v>
      </c>
      <c r="C22" s="70" t="s">
        <v>4653</v>
      </c>
    </row>
    <row r="23" spans="2:3" ht="15.75" customHeight="1">
      <c r="B23" s="69" t="s">
        <v>362</v>
      </c>
      <c r="C23" s="70" t="s">
        <v>4653</v>
      </c>
    </row>
    <row r="24" spans="2:3" ht="12.5">
      <c r="B24" s="69" t="s">
        <v>343</v>
      </c>
      <c r="C24" s="70" t="s">
        <v>4653</v>
      </c>
    </row>
    <row r="25" spans="2:3" ht="12.5">
      <c r="B25" s="69" t="s">
        <v>324</v>
      </c>
      <c r="C25" s="70" t="s">
        <v>4653</v>
      </c>
    </row>
    <row r="26" spans="2:3" ht="12.5">
      <c r="B26" s="69" t="s">
        <v>303</v>
      </c>
      <c r="C26" s="70" t="s">
        <v>4653</v>
      </c>
    </row>
    <row r="27" spans="2:3" ht="12.5">
      <c r="B27" s="69" t="s">
        <v>283</v>
      </c>
      <c r="C27" s="70" t="s">
        <v>4653</v>
      </c>
    </row>
    <row r="28" spans="2:3" ht="12.5">
      <c r="B28" s="69" t="s">
        <v>301</v>
      </c>
      <c r="C28" s="70" t="s">
        <v>4653</v>
      </c>
    </row>
    <row r="29" spans="2:3" ht="12.5">
      <c r="B29" s="69" t="s">
        <v>320</v>
      </c>
      <c r="C29" s="70" t="s">
        <v>4653</v>
      </c>
    </row>
    <row r="30" spans="2:3" ht="12.5">
      <c r="B30" s="69" t="s">
        <v>280</v>
      </c>
      <c r="C30" s="70" t="s">
        <v>4653</v>
      </c>
    </row>
    <row r="31" spans="2:3" ht="12.5">
      <c r="B31" s="69" t="s">
        <v>257</v>
      </c>
      <c r="C31" s="70" t="s">
        <v>4653</v>
      </c>
    </row>
    <row r="32" spans="2:3" ht="12.5">
      <c r="B32" s="69" t="s">
        <v>260</v>
      </c>
      <c r="C32" s="70" t="s">
        <v>4653</v>
      </c>
    </row>
    <row r="33" spans="2:3" ht="12.5">
      <c r="B33" s="69" t="s">
        <v>237</v>
      </c>
      <c r="C33" s="70" t="s">
        <v>4653</v>
      </c>
    </row>
    <row r="34" spans="2:3" ht="12.5">
      <c r="B34" s="69" t="s">
        <v>214</v>
      </c>
      <c r="C34" s="70" t="s">
        <v>4653</v>
      </c>
    </row>
    <row r="35" spans="2:3" ht="12.5">
      <c r="B35" s="69" t="s">
        <v>287</v>
      </c>
      <c r="C35" s="70" t="s">
        <v>4653</v>
      </c>
    </row>
    <row r="36" spans="2:3" ht="12.5">
      <c r="B36" s="69" t="s">
        <v>264</v>
      </c>
      <c r="C36" s="70" t="s">
        <v>4653</v>
      </c>
    </row>
    <row r="37" spans="2:3" ht="12.5">
      <c r="B37" s="69" t="s">
        <v>240</v>
      </c>
      <c r="C37" s="70" t="s">
        <v>4653</v>
      </c>
    </row>
    <row r="38" spans="2:3" ht="12.5">
      <c r="B38" s="69" t="s">
        <v>215</v>
      </c>
      <c r="C38" s="70" t="s">
        <v>4653</v>
      </c>
    </row>
    <row r="39" spans="2:3" ht="12.5">
      <c r="B39" s="69" t="s">
        <v>199</v>
      </c>
      <c r="C39" s="70" t="s">
        <v>4653</v>
      </c>
    </row>
    <row r="40" spans="2:3" ht="12.5">
      <c r="B40" s="69" t="s">
        <v>181</v>
      </c>
      <c r="C40" s="70" t="s">
        <v>4653</v>
      </c>
    </row>
    <row r="41" spans="2:3" ht="12.5">
      <c r="B41" s="69" t="s">
        <v>197</v>
      </c>
      <c r="C41" s="70" t="s">
        <v>4653</v>
      </c>
    </row>
    <row r="42" spans="2:3" ht="12.5">
      <c r="B42" s="69" t="s">
        <v>179</v>
      </c>
      <c r="C42" s="70" t="s">
        <v>4653</v>
      </c>
    </row>
    <row r="43" spans="2:3" ht="12.5">
      <c r="B43" s="69" t="s">
        <v>161</v>
      </c>
      <c r="C43" s="70" t="s">
        <v>4653</v>
      </c>
    </row>
    <row r="44" spans="2:3" ht="12.5">
      <c r="B44" s="71" t="s">
        <v>148</v>
      </c>
      <c r="C44" s="72" t="s">
        <v>4653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9F986E36FC5B4F9174773F507E3912" ma:contentTypeVersion="14" ma:contentTypeDescription="Create a new document." ma:contentTypeScope="" ma:versionID="277a40b631190a4242a46a31cb42a4f4">
  <xsd:schema xmlns:xsd="http://www.w3.org/2001/XMLSchema" xmlns:xs="http://www.w3.org/2001/XMLSchema" xmlns:p="http://schemas.microsoft.com/office/2006/metadata/properties" xmlns:ns2="76ecb501-9ec6-4c7d-beb3-c6e5b29d4022" targetNamespace="http://schemas.microsoft.com/office/2006/metadata/properties" ma:root="true" ma:fieldsID="5ee57032bf0415d8f34a2507193e2f7b" ns2:_="">
    <xsd:import namespace="76ecb501-9ec6-4c7d-beb3-c6e5b29d40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cb501-9ec6-4c7d-beb3-c6e5b29d4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5f52a24-0808-461a-9557-7a9cf780d1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andtime" ma:index="21" nillable="true" ma:displayName="Date and time" ma:default="[today]" ma:format="DateTime" ma:internalName="Dateand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ecb501-9ec6-4c7d-beb3-c6e5b29d4022">
      <Terms xmlns="http://schemas.microsoft.com/office/infopath/2007/PartnerControls"/>
    </lcf76f155ced4ddcb4097134ff3c332f>
    <Dateandtime xmlns="76ecb501-9ec6-4c7d-beb3-c6e5b29d4022">2025-07-09T23:49:10+00:00</Dateandtim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53A6D-DDDC-40CA-8663-64781BACA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ecb501-9ec6-4c7d-beb3-c6e5b29d4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3D9695-A52F-4319-ACA8-7363BA16C4D1}">
  <ds:schemaRefs>
    <ds:schemaRef ds:uri="http://schemas.microsoft.com/office/2006/metadata/properties"/>
    <ds:schemaRef ds:uri="http://schemas.microsoft.com/office/infopath/2007/PartnerControls"/>
    <ds:schemaRef ds:uri="76ecb501-9ec6-4c7d-beb3-c6e5b29d4022"/>
  </ds:schemaRefs>
</ds:datastoreItem>
</file>

<file path=customXml/itemProps3.xml><?xml version="1.0" encoding="utf-8"?>
<ds:datastoreItem xmlns:ds="http://schemas.openxmlformats.org/officeDocument/2006/customXml" ds:itemID="{99AD0191-BD72-4C52-A687-3C81AC23B1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120180 MVA Transformer</vt:lpstr>
      <vt:lpstr>PV Fiberlight</vt:lpstr>
      <vt:lpstr>Summary</vt:lpstr>
      <vt:lpstr>IP Ranges - Air</vt:lpstr>
      <vt:lpstr>IP Ranges - Immersion</vt:lpstr>
      <vt:lpstr>eGauges</vt:lpstr>
      <vt:lpstr>IP Ranges - Air (OLD)</vt:lpstr>
      <vt:lpstr>Pivot Table 1</vt:lpstr>
      <vt:lpstr>Outage Plan</vt:lpstr>
      <vt:lpstr>VLAN issues</vt:lpstr>
      <vt:lpstr>Miner Types</vt:lpstr>
      <vt:lpstr>Labor</vt:lpstr>
      <vt:lpstr>Land Clearing</vt:lpstr>
      <vt:lpstr>Geotech Survey</vt:lpstr>
      <vt:lpstr>Container Ratio</vt:lpstr>
      <vt:lpstr>Sound Concern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chris.debold@mara.com</dc:creator>
  <cp:keywords/>
  <dc:description/>
  <cp:lastModifiedBy>Koree Caraway</cp:lastModifiedBy>
  <cp:revision/>
  <dcterms:created xsi:type="dcterms:W3CDTF">2024-02-25T22:04:46Z</dcterms:created>
  <dcterms:modified xsi:type="dcterms:W3CDTF">2026-02-23T21:10:50Z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0x0101004C9F986E36FC5B4F9174773F507E3912</vt:lpwstr>
  </property>
  <property fmtid="{D5CDD505-2E9C-101B-9397-08002B2CF9AE}" pid="3" name="MediaServiceImageTags">
    <vt:lpwstr/>
  </property>
  <property fmtid="{D5CDD505-2E9C-101B-9397-08002B2CF9AE}" pid="4" name="Order">
    <vt:r8>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